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trlProps/ctrlProp6.xml" ContentType="application/vnd.ms-excel.controlproperties+xml"/>
  <Override PartName="/xl/drawings/drawing5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6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2021\Módulo 16 - Dashboards Impressionadores\"/>
    </mc:Choice>
  </mc:AlternateContent>
  <xr:revisionPtr revIDLastSave="0" documentId="13_ncr:1_{61167FF7-54BA-4254-84FB-C1F48E6F50F5}" xr6:coauthVersionLast="47" xr6:coauthVersionMax="47" xr10:uidLastSave="{00000000-0000-0000-0000-000000000000}"/>
  <bookViews>
    <workbookView xWindow="-108" yWindow="-108" windowWidth="23256" windowHeight="13176" tabRatio="982" xr2:uid="{A0D6CE5D-8462-400E-B7A6-65CA78D18720}"/>
  </bookViews>
  <sheets>
    <sheet name="Caixa de Combinação" sheetId="2" r:id="rId1"/>
    <sheet name="Caixa de Combinação (Prática)" sheetId="12" r:id="rId2"/>
    <sheet name="Caixa de Listagem" sheetId="6" r:id="rId3"/>
    <sheet name="Caixa de Listagem (Prática)" sheetId="13" r:id="rId4"/>
    <sheet name="Botão de Rotação" sheetId="11" r:id="rId5"/>
    <sheet name="Botão de Rotação (Prática)" sheetId="14" r:id="rId6"/>
    <sheet name="Barra de Rolagem" sheetId="9" r:id="rId7"/>
    <sheet name="Barra de Rolagem (Prática)" sheetId="16" r:id="rId8"/>
    <sheet name="Caixa de Seleção" sheetId="8" r:id="rId9"/>
    <sheet name="Caixa de Seleção (Prática)" sheetId="15" r:id="rId10"/>
    <sheet name="Botão de Opção" sheetId="10" r:id="rId11"/>
    <sheet name="Botão de Opção (Prática)" sheetId="17" r:id="rId12"/>
  </sheets>
  <definedNames>
    <definedName name="Pos_1">INDEX(#REF!,MATCH(#REF!,#REF!,0))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0" l="1"/>
  <c r="C1" i="8"/>
  <c r="C5" i="9"/>
  <c r="C7" i="9" s="1"/>
  <c r="C8" i="9" s="1"/>
  <c r="H2" i="11"/>
  <c r="D8" i="11" s="1"/>
  <c r="N3" i="11" a="1"/>
  <c r="N3" i="11" s="1"/>
  <c r="M3" i="11" a="1"/>
  <c r="M3" i="11" s="1"/>
  <c r="L3" i="11" a="1"/>
  <c r="L3" i="11" s="1"/>
  <c r="K3" i="11" a="1"/>
  <c r="K3" i="11" s="1"/>
  <c r="J3" i="11" a="1"/>
  <c r="J3" i="11" s="1"/>
  <c r="M8" i="6" a="1"/>
  <c r="M8" i="6" s="1"/>
  <c r="K3" i="6" a="1"/>
  <c r="K3" i="6" s="1"/>
  <c r="O2" i="6" a="1"/>
  <c r="O2" i="6" s="1"/>
  <c r="K3" i="2" a="1"/>
  <c r="K3" i="2" s="1"/>
  <c r="L3" i="2" a="1"/>
  <c r="L3" i="2" s="1"/>
  <c r="M3" i="2" a="1"/>
  <c r="M3" i="2" s="1"/>
  <c r="N3" i="2" a="1"/>
  <c r="N3" i="2" s="1"/>
  <c r="J3" i="2" a="1"/>
  <c r="J3" i="2" s="1"/>
  <c r="K5" i="11" l="1"/>
  <c r="L5" i="11"/>
  <c r="M5" i="11"/>
  <c r="N5" i="11"/>
  <c r="L4" i="11"/>
  <c r="N4" i="11"/>
  <c r="M4" i="11"/>
  <c r="K4" i="11"/>
  <c r="B8" i="11"/>
  <c r="E8" i="11"/>
  <c r="C8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<sst xmlns="http://schemas.openxmlformats.org/spreadsheetml/2006/main" count="68" uniqueCount="23">
  <si>
    <t>Marca A</t>
  </si>
  <si>
    <t>Marca B</t>
  </si>
  <si>
    <t>Marca C</t>
  </si>
  <si>
    <t>Marca D</t>
  </si>
  <si>
    <t>Ano</t>
  </si>
  <si>
    <t>Meta</t>
  </si>
  <si>
    <t>&gt;=</t>
  </si>
  <si>
    <t>&lt;</t>
  </si>
  <si>
    <t>Custo</t>
  </si>
  <si>
    <t>Lucro</t>
  </si>
  <si>
    <t>Margem</t>
  </si>
  <si>
    <t>Receita</t>
  </si>
  <si>
    <t>Lista de Tarefas</t>
  </si>
  <si>
    <t>Tarefa 1</t>
  </si>
  <si>
    <t>Tarefa 2</t>
  </si>
  <si>
    <t>Tarefa 3</t>
  </si>
  <si>
    <t>Tarefa 4</t>
  </si>
  <si>
    <t>Tarefa 5</t>
  </si>
  <si>
    <t>Tarefa 6</t>
  </si>
  <si>
    <t>Tarefa 7</t>
  </si>
  <si>
    <t>Tarefa 8</t>
  </si>
  <si>
    <t>Tarefa 9</t>
  </si>
  <si>
    <t>Tarefa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</si>
</sst>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75FFB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0" xfId="0" applyBorder="1"/>
    <xf numFmtId="16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7" fontId="0" fillId="0" borderId="0" xfId="0" applyNumberForma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9" fontId="2" fillId="2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9" fontId="2" fillId="2" borderId="0" xfId="1" applyFont="1" applyFill="1" applyAlignment="1">
      <alignment horizontal="left"/>
    </xf>
    <xf numFmtId="0" fontId="0" fillId="0" borderId="0" xfId="0" applyFont="1" applyFill="1"/>
  </cellXfs>
  <cellStyles count="2">
    <cellStyle name="Normal" xfId="0" builtinId="0"/>
    <cellStyle name="Porcentagem" xfId="1" builtinId="5"/>
  </cellStyles>
  <dxfs count="6">
    <dxf>
      <fill>
        <patternFill>
          <bgColor rgb="FF57FFA3"/>
        </patternFill>
      </fill>
    </dxf>
    <dxf>
      <fill>
        <patternFill>
          <bgColor rgb="FFFFB7B7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4" tint="-0.24994659260841701"/>
        </patternFill>
      </fill>
    </dxf>
  </dxfs>
  <tableStyles count="0" defaultTableStyle="TableStyleMedium2" defaultPivotStyle="PivotStyleLight16"/>
  <colors>
    <mruColors>
      <color rgb="FFFFB7B7"/>
      <color rgb="FF57FFA3"/>
      <color rgb="FFFF7575"/>
      <color rgb="FF75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'Caixa de Combinação'!$J$3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'Caixa de Combinação'!$B$1:$E$1</c:f>
              <c:strCache>
                <c:ptCount val="4"/>
                <c:pt idx="0">
                  <c:v>Marca A</c:v>
                </c:pt>
                <c:pt idx="1">
                  <c:v>Marca B</c:v>
                </c:pt>
                <c:pt idx="2">
                  <c:v>Marca C</c:v>
                </c:pt>
                <c:pt idx="3">
                  <c:v>Marca D</c:v>
                </c:pt>
              </c:strCache>
            </c:strRef>
          </c:cat>
          <c:val>
            <c:numRef>
              <c:f>'Caixa de Combinação'!$K$3:$N$3</c:f>
              <c:numCache>
                <c:formatCode>"R$"\ #,##0</c:formatCode>
                <c:ptCount val="4"/>
                <c:pt idx="0">
                  <c:v>57537</c:v>
                </c:pt>
                <c:pt idx="1">
                  <c:v>90192</c:v>
                </c:pt>
                <c:pt idx="2">
                  <c:v>64872</c:v>
                </c:pt>
                <c:pt idx="3">
                  <c:v>49048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6-4380-A054-D9B6647C4E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0480192"/>
        <c:axId val="640479776"/>
      </c:barChart>
      <c:catAx>
        <c:axId val="64048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0479776"/>
        <c:crosses val="autoZero"/>
        <c:auto val="1"/>
        <c:lblAlgn val="ctr"/>
        <c:lblOffset val="100"/>
        <c:noMultiLvlLbl val="0"/>
      </c:catAx>
      <c:valAx>
        <c:axId val="640479776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64048019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'Botão de Rotação'!$J$4</c:f>
              <c:strCache>
                <c:ptCount val="1"/>
                <c:pt idx="0">
                  <c:v>&gt;=</c:v>
                </c:pt>
              </c:strCache>
            </c:strRef>
          </c:tx>
          <c:spPr>
            <a:solidFill>
              <a:srgbClr val="75FFB3"/>
            </a:solidFill>
            <a:ln>
              <a:noFill/>
            </a:ln>
            <a:effectLst/>
          </c:spPr>
          <c:invertIfNegative val="0"/>
          <c:cat>
            <c:strRef>
              <c:f>'Botão de Rotação'!$B$1:$E$1</c:f>
              <c:strCache>
                <c:ptCount val="4"/>
                <c:pt idx="0">
                  <c:v>Marca A</c:v>
                </c:pt>
                <c:pt idx="1">
                  <c:v>Marca B</c:v>
                </c:pt>
                <c:pt idx="2">
                  <c:v>Marca C</c:v>
                </c:pt>
                <c:pt idx="3">
                  <c:v>Marca D</c:v>
                </c:pt>
              </c:strCache>
            </c:strRef>
          </c:cat>
          <c:val>
            <c:numRef>
              <c:f>'Botão de Rotação'!$K$4:$N$4</c:f>
              <c:numCache>
                <c:formatCode>"R$"\ #,##0</c:formatCode>
                <c:ptCount val="4"/>
                <c:pt idx="0">
                  <c:v>0</c:v>
                </c:pt>
                <c:pt idx="1">
                  <c:v>92133</c:v>
                </c:pt>
                <c:pt idx="2">
                  <c:v>0</c:v>
                </c:pt>
                <c:pt idx="3">
                  <c:v>68371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8-43AE-8C18-5B04B66C7A46}"/>
            </c:ext>
          </c:extLst>
        </c:ser>
        <c:ser>
          <c:idx val="1"/>
          <c:order val="1"/>
          <c:tx>
            <c:strRef>
              <c:f>'Botão de Rotação'!$J$5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FF7575"/>
            </a:solidFill>
            <a:ln>
              <a:noFill/>
            </a:ln>
            <a:effectLst/>
          </c:spPr>
          <c:invertIfNegative val="0"/>
          <c:cat>
            <c:strRef>
              <c:f>'Botão de Rotação'!$B$1:$E$1</c:f>
              <c:strCache>
                <c:ptCount val="4"/>
                <c:pt idx="0">
                  <c:v>Marca A</c:v>
                </c:pt>
                <c:pt idx="1">
                  <c:v>Marca B</c:v>
                </c:pt>
                <c:pt idx="2">
                  <c:v>Marca C</c:v>
                </c:pt>
                <c:pt idx="3">
                  <c:v>Marca D</c:v>
                </c:pt>
              </c:strCache>
            </c:strRef>
          </c:cat>
          <c:val>
            <c:numRef>
              <c:f>'Botão de Rotação'!$K$5:$N$5</c:f>
              <c:numCache>
                <c:formatCode>"R$"\ #,##0</c:formatCode>
                <c:ptCount val="4"/>
                <c:pt idx="0">
                  <c:v>45984</c:v>
                </c:pt>
                <c:pt idx="1">
                  <c:v>0</c:v>
                </c:pt>
                <c:pt idx="2">
                  <c:v>20327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8-43AE-8C18-5B04B66C7A46}"/>
            </c:ext>
          </c:extLst>
        </c:ser>
        <c:ser>
          <c:idx val="3"/>
          <c:order val="3"/>
          <c:tx>
            <c:strRef>
              <c:f>'Botão de Rotação'!$J$3</c:f>
              <c:strCache>
                <c:ptCount val="1"/>
                <c:pt idx="0">
                  <c:v>2018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'Botão de Rotação'!$K$3:$N$3</c:f>
              <c:numCache>
                <c:formatCode>"R$"\ #,##0</c:formatCode>
                <c:ptCount val="4"/>
                <c:pt idx="0">
                  <c:v>45984</c:v>
                </c:pt>
                <c:pt idx="1">
                  <c:v>92133</c:v>
                </c:pt>
                <c:pt idx="2">
                  <c:v>20327</c:v>
                </c:pt>
                <c:pt idx="3">
                  <c:v>68371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08-43AE-8C18-5B04B66C7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9332912"/>
        <c:axId val="649335824"/>
      </c:barChart>
      <c:lineChart>
        <c:grouping val="standard"/>
        <c:varyColors val="0"/>
        <c:ser>
          <c:idx val="2"/>
          <c:order val="2"/>
          <c:tx>
            <c:strRef>
              <c:f>'Botão de Rotação'!$A$8</c:f>
              <c:strCache>
                <c:ptCount val="1"/>
                <c:pt idx="0">
                  <c:v>Meta</c:v>
                </c:pt>
              </c:strCache>
            </c:strRef>
          </c:tx>
          <c:spPr>
            <a:ln w="6350" cap="rnd">
              <a:solidFill>
                <a:schemeClr val="tx1">
                  <a:lumMod val="65000"/>
                  <a:lumOff val="3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val>
            <c:numRef>
              <c:f>'Botão de Rotação'!$B$8:$E$8</c:f>
              <c:numCache>
                <c:formatCode>"R$"\ #,##0</c:formatCode>
                <c:ptCount val="4"/>
                <c:pt idx="0">
                  <c:v>60000</c:v>
                </c:pt>
                <c:pt idx="1">
                  <c:v>60000</c:v>
                </c:pt>
                <c:pt idx="2">
                  <c:v>60000</c:v>
                </c:pt>
                <c:pt idx="3">
                  <c:v>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08-43AE-8C18-5B04B66C7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332912"/>
        <c:axId val="649335824"/>
      </c:lineChart>
      <c:catAx>
        <c:axId val="64933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9335824"/>
        <c:crosses val="autoZero"/>
        <c:auto val="1"/>
        <c:lblAlgn val="ctr"/>
        <c:lblOffset val="100"/>
        <c:noMultiLvlLbl val="0"/>
      </c:catAx>
      <c:valAx>
        <c:axId val="649335824"/>
        <c:scaling>
          <c:orientation val="minMax"/>
          <c:max val="120000"/>
          <c:min val="0"/>
        </c:scaling>
        <c:delete val="1"/>
        <c:axPos val="l"/>
        <c:numFmt formatCode="&quot;R$&quot;\ #,##0" sourceLinked="1"/>
        <c:majorTickMark val="out"/>
        <c:minorTickMark val="none"/>
        <c:tickLblPos val="nextTo"/>
        <c:crossAx val="64933291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fmlaLink="$J$2" fmlaRange="$A$2:$A$7" noThreeD="1" sel="2" val="0"/>
</file>

<file path=xl/ctrlProps/ctrlProp2.xml><?xml version="1.0" encoding="utf-8"?>
<formControlPr xmlns="http://schemas.microsoft.com/office/spreadsheetml/2009/9/main" objectType="List" dx="26" fmlaLink="$K$2" fmlaRange="$A$2:$A$25" sel="5" val="0"/>
</file>

<file path=xl/ctrlProps/ctrlProp3.xml><?xml version="1.0" encoding="utf-8"?>
<formControlPr xmlns="http://schemas.microsoft.com/office/spreadsheetml/2009/9/main" objectType="List" dx="26" fmlaLink="$M$7" fmlaRange="$M$2:$M$5" sel="2" val="0"/>
</file>

<file path=xl/ctrlProps/ctrlProp4.xml><?xml version="1.0" encoding="utf-8"?>
<formControlPr xmlns="http://schemas.microsoft.com/office/spreadsheetml/2009/9/main" objectType="Drop" dropStyle="combo" dx="26" fmlaLink="$J$2" fmlaRange="$A$2:$A$7" noThreeD="1" sel="4" val="0"/>
</file>

<file path=xl/ctrlProps/ctrlProp5.xml><?xml version="1.0" encoding="utf-8"?>
<formControlPr xmlns="http://schemas.microsoft.com/office/spreadsheetml/2009/9/main" objectType="Spin" dx="26" fmlaLink="$H$1" max="10" page="10" val="6"/>
</file>

<file path=xl/ctrlProps/ctrlProp6.xml><?xml version="1.0" encoding="utf-8"?>
<formControlPr xmlns="http://schemas.microsoft.com/office/spreadsheetml/2009/9/main" objectType="Scroll" dx="26" fmlaLink="$I$2" horiz="1" max="100" page="10" val="70"/>
</file>

<file path=xl/ctrlProps/ctrlProp7.xml><?xml version="1.0" encoding="utf-8"?>
<formControlPr xmlns="http://schemas.microsoft.com/office/spreadsheetml/2009/9/main" objectType="CheckBox" fmlaLink="$B$2" lockText="1" noThreeD="1"/>
</file>

<file path=xl/ctrlProps/ctrlProp8.xml><?xml version="1.0" encoding="utf-8"?>
<formControlPr xmlns="http://schemas.microsoft.com/office/spreadsheetml/2009/9/main" objectType="CheckBox" fmlaLink="$B$3" lockText="1" noThreeD="1"/>
</file>

<file path=xl/ctrlProps/ctrlProp9.xml><?xml version="1.0" encoding="utf-8"?>
<formControlPr xmlns="http://schemas.microsoft.com/office/spreadsheetml/2009/9/main" objectType="CheckBox" fmlaLink="$B$4" lockText="1" noThreeD="1"/>
</file>

<file path=xl/ctrlProps/ctrlProp10.xml><?xml version="1.0" encoding="utf-8"?>
<formControlPr xmlns="http://schemas.microsoft.com/office/spreadsheetml/2009/9/main" objectType="CheckBox" fmlaLink="$B$5" lockText="1" noThreeD="1"/>
</file>

<file path=xl/ctrlProps/ctrlProp11.xml><?xml version="1.0" encoding="utf-8"?>
<formControlPr xmlns="http://schemas.microsoft.com/office/spreadsheetml/2009/9/main" objectType="CheckBox" checked="Checked" fmlaLink="$B$6" lockText="1" noThreeD="1"/>
</file>

<file path=xl/ctrlProps/ctrlProp12.xml><?xml version="1.0" encoding="utf-8"?>
<formControlPr xmlns="http://schemas.microsoft.com/office/spreadsheetml/2009/9/main" objectType="CheckBox" fmlaLink="$B$7" lockText="1" noThreeD="1"/>
</file>

<file path=xl/ctrlProps/ctrlProp13.xml><?xml version="1.0" encoding="utf-8"?>
<formControlPr xmlns="http://schemas.microsoft.com/office/spreadsheetml/2009/9/main" objectType="CheckBox" checked="Checked" fmlaLink="$B$8" lockText="1" noThreeD="1"/>
</file>

<file path=xl/ctrlProps/ctrlProp14.xml><?xml version="1.0" encoding="utf-8"?>
<formControlPr xmlns="http://schemas.microsoft.com/office/spreadsheetml/2009/9/main" objectType="CheckBox" checked="Checked" fmlaLink="$B$9" lockText="1" noThreeD="1"/>
</file>

<file path=xl/ctrlProps/ctrlProp15.xml><?xml version="1.0" encoding="utf-8"?>
<formControlPr xmlns="http://schemas.microsoft.com/office/spreadsheetml/2009/9/main" objectType="CheckBox" fmlaLink="$B$10" lockText="1" noThreeD="1"/>
</file>

<file path=xl/ctrlProps/ctrlProp16.xml><?xml version="1.0" encoding="utf-8"?>
<formControlPr xmlns="http://schemas.microsoft.com/office/spreadsheetml/2009/9/main" objectType="CheckBox" fmlaLink="$B$11" lockText="1" noThreeD="1"/>
</file>

<file path=xl/ctrlProps/ctrlProp17.xml><?xml version="1.0" encoding="utf-8"?>
<formControlPr xmlns="http://schemas.microsoft.com/office/spreadsheetml/2009/9/main" objectType="GBox"/>
</file>

<file path=xl/ctrlProps/ctrlProp18.xml><?xml version="1.0" encoding="utf-8"?>
<formControlPr xmlns="http://schemas.microsoft.com/office/spreadsheetml/2009/9/main" objectType="Radio" firstButton="1" fmlaLink="$I$2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checked="Checked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Label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7</xdr:row>
      <xdr:rowOff>142875</xdr:rowOff>
    </xdr:from>
    <xdr:to>
      <xdr:col>6</xdr:col>
      <xdr:colOff>374650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3</xdr:row>
      <xdr:rowOff>0</xdr:rowOff>
    </xdr:from>
    <xdr:to>
      <xdr:col>14</xdr:col>
      <xdr:colOff>304800</xdr:colOff>
      <xdr:row>4</xdr:row>
      <xdr:rowOff>119742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9677400" y="262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304800</xdr:colOff>
      <xdr:row>5</xdr:row>
      <xdr:rowOff>119743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1272540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304800</xdr:colOff>
      <xdr:row>11</xdr:row>
      <xdr:rowOff>121919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597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8</xdr:row>
          <xdr:rowOff>0</xdr:rowOff>
        </xdr:from>
        <xdr:to>
          <xdr:col>2</xdr:col>
          <xdr:colOff>0</xdr:colOff>
          <xdr:row>9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144780</xdr:rowOff>
        </xdr:from>
        <xdr:to>
          <xdr:col>9</xdr:col>
          <xdr:colOff>0</xdr:colOff>
          <xdr:row>7</xdr:row>
          <xdr:rowOff>0</xdr:rowOff>
        </xdr:to>
        <xdr:sp macro="" textlink="">
          <xdr:nvSpPr>
            <xdr:cNvPr id="4097" name="List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9</xdr:col>
          <xdr:colOff>0</xdr:colOff>
          <xdr:row>11</xdr:row>
          <xdr:rowOff>0</xdr:rowOff>
        </xdr:to>
        <xdr:sp macro="" textlink="">
          <xdr:nvSpPr>
            <xdr:cNvPr id="4098" name="List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14</xdr:col>
      <xdr:colOff>304800</xdr:colOff>
      <xdr:row>4</xdr:row>
      <xdr:rowOff>119742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179820" y="548640"/>
          <a:ext cx="304800" cy="302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4</xdr:row>
      <xdr:rowOff>0</xdr:rowOff>
    </xdr:from>
    <xdr:to>
      <xdr:col>17</xdr:col>
      <xdr:colOff>304800</xdr:colOff>
      <xdr:row>5</xdr:row>
      <xdr:rowOff>119743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8008620" y="731520"/>
          <a:ext cx="304800" cy="302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304800</xdr:colOff>
      <xdr:row>12</xdr:row>
      <xdr:rowOff>121919</xdr:rowOff>
    </xdr:to>
    <xdr:sp macro="" textlink="">
      <xdr:nvSpPr>
        <xdr:cNvPr id="5" name="AutoShape 7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9227820" y="1828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129540</xdr:colOff>
          <xdr:row>9</xdr:row>
          <xdr:rowOff>38100</xdr:rowOff>
        </xdr:from>
        <xdr:to>
          <xdr:col>2</xdr:col>
          <xdr:colOff>7620</xdr:colOff>
          <xdr:row>10</xdr:row>
          <xdr:rowOff>38100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4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133350</xdr:colOff>
      <xdr:row>10</xdr:row>
      <xdr:rowOff>57149</xdr:rowOff>
    </xdr:from>
    <xdr:to>
      <xdr:col>6</xdr:col>
      <xdr:colOff>355600</xdr:colOff>
      <xdr:row>23</xdr:row>
      <xdr:rowOff>22224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</xdr:colOff>
          <xdr:row>7</xdr:row>
          <xdr:rowOff>0</xdr:rowOff>
        </xdr:from>
        <xdr:to>
          <xdr:col>1</xdr:col>
          <xdr:colOff>0</xdr:colOff>
          <xdr:row>8</xdr:row>
          <xdr:rowOff>0</xdr:rowOff>
        </xdr:to>
        <xdr:sp macro="" textlink="">
          <xdr:nvSpPr>
            <xdr:cNvPr id="9218" name="Spinner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4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5</xdr:col>
          <xdr:colOff>449580</xdr:colOff>
          <xdr:row>3</xdr:row>
          <xdr:rowOff>0</xdr:rowOff>
        </xdr:to>
        <xdr:sp macro="" textlink="">
          <xdr:nvSpPr>
            <xdr:cNvPr id="7170" name="Scroll Bar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0</xdr:row>
          <xdr:rowOff>160020</xdr:rowOff>
        </xdr:from>
        <xdr:to>
          <xdr:col>0</xdr:col>
          <xdr:colOff>1066800</xdr:colOff>
          <xdr:row>2</xdr:row>
          <xdr:rowOff>15240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8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17365D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1</xdr:row>
          <xdr:rowOff>160020</xdr:rowOff>
        </xdr:from>
        <xdr:to>
          <xdr:col>0</xdr:col>
          <xdr:colOff>1066800</xdr:colOff>
          <xdr:row>3</xdr:row>
          <xdr:rowOff>15240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8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17365D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2</xdr:row>
          <xdr:rowOff>160020</xdr:rowOff>
        </xdr:from>
        <xdr:to>
          <xdr:col>0</xdr:col>
          <xdr:colOff>1066800</xdr:colOff>
          <xdr:row>4</xdr:row>
          <xdr:rowOff>15240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8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17365D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655320</xdr:colOff>
          <xdr:row>3</xdr:row>
          <xdr:rowOff>160020</xdr:rowOff>
        </xdr:from>
        <xdr:to>
          <xdr:col>0</xdr:col>
          <xdr:colOff>1066800</xdr:colOff>
          <xdr:row>5</xdr:row>
          <xdr:rowOff>15240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8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17365D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4</xdr:row>
          <xdr:rowOff>160020</xdr:rowOff>
        </xdr:from>
        <xdr:to>
          <xdr:col>0</xdr:col>
          <xdr:colOff>1066800</xdr:colOff>
          <xdr:row>6</xdr:row>
          <xdr:rowOff>15240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8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17365D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5</xdr:row>
          <xdr:rowOff>160020</xdr:rowOff>
        </xdr:from>
        <xdr:to>
          <xdr:col>0</xdr:col>
          <xdr:colOff>1066800</xdr:colOff>
          <xdr:row>7</xdr:row>
          <xdr:rowOff>15240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8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17365D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655320</xdr:colOff>
          <xdr:row>6</xdr:row>
          <xdr:rowOff>167640</xdr:rowOff>
        </xdr:from>
        <xdr:to>
          <xdr:col>0</xdr:col>
          <xdr:colOff>1066800</xdr:colOff>
          <xdr:row>8</xdr:row>
          <xdr:rowOff>15240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8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17365D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7</xdr:row>
          <xdr:rowOff>167640</xdr:rowOff>
        </xdr:from>
        <xdr:to>
          <xdr:col>0</xdr:col>
          <xdr:colOff>1066800</xdr:colOff>
          <xdr:row>9</xdr:row>
          <xdr:rowOff>15240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8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17365D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647700</xdr:colOff>
          <xdr:row>8</xdr:row>
          <xdr:rowOff>167640</xdr:rowOff>
        </xdr:from>
        <xdr:to>
          <xdr:col>0</xdr:col>
          <xdr:colOff>1066800</xdr:colOff>
          <xdr:row>10</xdr:row>
          <xdr:rowOff>15240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8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17365D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655320</xdr:colOff>
          <xdr:row>9</xdr:row>
          <xdr:rowOff>167640</xdr:rowOff>
        </xdr:from>
        <xdr:to>
          <xdr:col>0</xdr:col>
          <xdr:colOff>1066800</xdr:colOff>
          <xdr:row>11</xdr:row>
          <xdr:rowOff>15240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8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17365D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7</xdr:col>
          <xdr:colOff>0</xdr:colOff>
          <xdr:row>8</xdr:row>
          <xdr:rowOff>60960</xdr:rowOff>
        </xdr:to>
        <xdr:sp macro="" textlink="">
          <xdr:nvSpPr>
            <xdr:cNvPr id="8195" name="Group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A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2</xdr:row>
          <xdr:rowOff>106680</xdr:rowOff>
        </xdr:from>
        <xdr:to>
          <xdr:col>3</xdr:col>
          <xdr:colOff>388620</xdr:colOff>
          <xdr:row>3</xdr:row>
          <xdr:rowOff>144780</xdr:rowOff>
        </xdr:to>
        <xdr:sp macro="" textlink="">
          <xdr:nvSpPr>
            <xdr:cNvPr id="8196" name="Option Button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A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João Martins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3</xdr:row>
          <xdr:rowOff>114300</xdr:rowOff>
        </xdr:from>
        <xdr:to>
          <xdr:col>3</xdr:col>
          <xdr:colOff>388620</xdr:colOff>
          <xdr:row>4</xdr:row>
          <xdr:rowOff>152400</xdr:rowOff>
        </xdr:to>
        <xdr:sp macro="" textlink="">
          <xdr:nvSpPr>
            <xdr:cNvPr id="8197" name="Option Button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A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Alon Pinheiro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4</xdr:row>
          <xdr:rowOff>129540</xdr:rowOff>
        </xdr:from>
        <xdr:to>
          <xdr:col>3</xdr:col>
          <xdr:colOff>388620</xdr:colOff>
          <xdr:row>5</xdr:row>
          <xdr:rowOff>167640</xdr:rowOff>
        </xdr:to>
        <xdr:sp macro="" textlink="">
          <xdr:nvSpPr>
            <xdr:cNvPr id="8198" name="Option Button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A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Diego Amorim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5</xdr:row>
          <xdr:rowOff>137160</xdr:rowOff>
        </xdr:from>
        <xdr:to>
          <xdr:col>3</xdr:col>
          <xdr:colOff>388620</xdr:colOff>
          <xdr:row>6</xdr:row>
          <xdr:rowOff>175260</xdr:rowOff>
        </xdr:to>
        <xdr:sp macro="" textlink="">
          <xdr:nvSpPr>
            <xdr:cNvPr id="8199" name="Option Button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A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Marcus Cavalcanti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6</xdr:row>
          <xdr:rowOff>144780</xdr:rowOff>
        </xdr:from>
        <xdr:to>
          <xdr:col>3</xdr:col>
          <xdr:colOff>388620</xdr:colOff>
          <xdr:row>8</xdr:row>
          <xdr:rowOff>0</xdr:rowOff>
        </xdr:to>
        <xdr:sp macro="" textlink="">
          <xdr:nvSpPr>
            <xdr:cNvPr id="8200" name="Option Button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A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João Lira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</xdr:colOff>
          <xdr:row>1</xdr:row>
          <xdr:rowOff>83820</xdr:rowOff>
        </xdr:from>
        <xdr:to>
          <xdr:col>4</xdr:col>
          <xdr:colOff>350520</xdr:colOff>
          <xdr:row>2</xdr:row>
          <xdr:rowOff>121920</xdr:rowOff>
        </xdr:to>
        <xdr:sp macro="" textlink="">
          <xdr:nvSpPr>
            <xdr:cNvPr id="8201" name="Label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A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Qual melhor professor da Hashtag?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ctrlProp" Target="../ctrlProps/ctrlProp7.xml"/><Relationship Id="rId7" Type="http://schemas.openxmlformats.org/officeDocument/2006/relationships/ctrlProp" Target="../ctrlProps/ctrlProp11.xml"/><Relationship Id="rId12" Type="http://schemas.openxmlformats.org/officeDocument/2006/relationships/ctrlProp" Target="../ctrlProps/ctrlProp16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10.xml"/><Relationship Id="rId11" Type="http://schemas.openxmlformats.org/officeDocument/2006/relationships/ctrlProp" Target="../ctrlProps/ctrlProp15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.xml"/><Relationship Id="rId3" Type="http://schemas.openxmlformats.org/officeDocument/2006/relationships/ctrlProp" Target="../ctrlProps/ctrlProp17.xml"/><Relationship Id="rId7" Type="http://schemas.openxmlformats.org/officeDocument/2006/relationships/ctrlProp" Target="../ctrlProps/ctrlProp2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20.xml"/><Relationship Id="rId5" Type="http://schemas.openxmlformats.org/officeDocument/2006/relationships/ctrlProp" Target="../ctrlProps/ctrlProp19.xml"/><Relationship Id="rId4" Type="http://schemas.openxmlformats.org/officeDocument/2006/relationships/ctrlProp" Target="../ctrlProps/ctrlProp18.xml"/><Relationship Id="rId9" Type="http://schemas.openxmlformats.org/officeDocument/2006/relationships/ctrlProp" Target="../ctrlProps/ctrlProp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0782-6FB1-488F-94CB-0C05DB34CC22}">
  <dimension ref="A1:N7"/>
  <sheetViews>
    <sheetView showGridLines="0" tabSelected="1" zoomScale="120" zoomScaleNormal="120" workbookViewId="0"/>
  </sheetViews>
  <sheetFormatPr defaultRowHeight="14.4" x14ac:dyDescent="0.3"/>
  <cols>
    <col min="1" max="1" width="7.33203125" customWidth="1"/>
    <col min="2" max="5" width="12.21875" customWidth="1"/>
    <col min="6" max="6" width="7.21875" customWidth="1"/>
    <col min="9" max="9" width="8.88671875" style="3"/>
    <col min="10" max="14" width="8.88671875" style="3" hidden="1" customWidth="1"/>
  </cols>
  <sheetData>
    <row r="1" spans="1:14" x14ac:dyDescent="0.3">
      <c r="A1" s="7" t="s">
        <v>4</v>
      </c>
      <c r="B1" s="7" t="s">
        <v>0</v>
      </c>
      <c r="C1" s="7" t="s">
        <v>1</v>
      </c>
      <c r="D1" s="7" t="s">
        <v>2</v>
      </c>
      <c r="E1" s="7" t="s">
        <v>3</v>
      </c>
      <c r="F1" s="1"/>
    </row>
    <row r="2" spans="1:14" x14ac:dyDescent="0.3">
      <c r="A2" s="11">
        <v>2015</v>
      </c>
      <c r="B2" s="9">
        <v>81678</v>
      </c>
      <c r="C2" s="9">
        <v>72793</v>
      </c>
      <c r="D2" s="9">
        <v>85934</v>
      </c>
      <c r="E2" s="9">
        <v>98413</v>
      </c>
      <c r="F2" s="1"/>
      <c r="J2" s="5">
        <v>2</v>
      </c>
    </row>
    <row r="3" spans="1:14" x14ac:dyDescent="0.3">
      <c r="A3" s="11">
        <v>2016</v>
      </c>
      <c r="B3" s="9">
        <v>57537</v>
      </c>
      <c r="C3" s="9">
        <v>90192</v>
      </c>
      <c r="D3" s="9">
        <v>64872</v>
      </c>
      <c r="E3" s="9">
        <v>49048</v>
      </c>
      <c r="F3" s="1"/>
      <c r="J3" s="5" cm="1">
        <f t="array" ref="J3">INDEX(A2:A7,$J$2)</f>
        <v>2016</v>
      </c>
      <c r="K3" s="4" cm="1">
        <f t="array" ref="K3">INDEX(B2:B7,$J$2)</f>
        <v>57537</v>
      </c>
      <c r="L3" s="4" cm="1">
        <f t="array" ref="L3">INDEX(C2:C7,$J$2)</f>
        <v>90192</v>
      </c>
      <c r="M3" s="4" cm="1">
        <f t="array" ref="M3">INDEX(D2:D7,$J$2)</f>
        <v>64872</v>
      </c>
      <c r="N3" s="4" cm="1">
        <f t="array" ref="N3">INDEX(E2:E7,$J$2)</f>
        <v>49048</v>
      </c>
    </row>
    <row r="4" spans="1:14" x14ac:dyDescent="0.3">
      <c r="A4" s="11">
        <v>2017</v>
      </c>
      <c r="B4" s="9">
        <v>98836</v>
      </c>
      <c r="C4" s="9">
        <v>86108</v>
      </c>
      <c r="D4" s="9">
        <v>93663</v>
      </c>
      <c r="E4" s="9">
        <v>60197</v>
      </c>
      <c r="F4" s="1"/>
    </row>
    <row r="5" spans="1:14" x14ac:dyDescent="0.3">
      <c r="A5" s="11">
        <v>2018</v>
      </c>
      <c r="B5" s="9">
        <v>75614</v>
      </c>
      <c r="C5" s="9">
        <v>92133</v>
      </c>
      <c r="D5" s="9">
        <v>20327</v>
      </c>
      <c r="E5" s="9">
        <v>68371</v>
      </c>
      <c r="F5" s="1"/>
    </row>
    <row r="6" spans="1:14" x14ac:dyDescent="0.3">
      <c r="A6" s="11">
        <v>2019</v>
      </c>
      <c r="B6" s="9">
        <v>37443</v>
      </c>
      <c r="C6" s="9">
        <v>98580</v>
      </c>
      <c r="D6" s="9">
        <v>23705</v>
      </c>
      <c r="E6" s="9">
        <v>53327</v>
      </c>
      <c r="F6" s="1"/>
    </row>
    <row r="7" spans="1:14" x14ac:dyDescent="0.3">
      <c r="A7" s="11">
        <v>2020</v>
      </c>
      <c r="B7" s="9">
        <v>36312</v>
      </c>
      <c r="C7" s="9">
        <v>71883</v>
      </c>
      <c r="D7" s="9">
        <v>79639</v>
      </c>
      <c r="E7" s="9">
        <v>97950</v>
      </c>
      <c r="F7" s="1"/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0</xdr:col>
                    <xdr:colOff>121920</xdr:colOff>
                    <xdr:row>8</xdr:row>
                    <xdr:rowOff>0</xdr:rowOff>
                  </from>
                  <to>
                    <xdr:col>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38CB-2805-42E4-B97A-DE914DDAB442}">
  <sheetPr>
    <tabColor theme="7"/>
  </sheetPr>
  <dimension ref="A1:F7"/>
  <sheetViews>
    <sheetView showGridLines="0" zoomScale="120" zoomScaleNormal="120" workbookViewId="0"/>
  </sheetViews>
  <sheetFormatPr defaultRowHeight="14.4" x14ac:dyDescent="0.3"/>
  <cols>
    <col min="1" max="1" width="7.33203125" customWidth="1"/>
    <col min="2" max="5" width="12.21875" customWidth="1"/>
    <col min="6" max="6" width="7.21875" customWidth="1"/>
  </cols>
  <sheetData>
    <row r="1" spans="1:6" x14ac:dyDescent="0.3">
      <c r="A1" s="7" t="s">
        <v>4</v>
      </c>
      <c r="B1" s="7" t="s">
        <v>0</v>
      </c>
      <c r="C1" s="7" t="s">
        <v>1</v>
      </c>
      <c r="D1" s="7" t="s">
        <v>2</v>
      </c>
      <c r="E1" s="7" t="s">
        <v>3</v>
      </c>
      <c r="F1" s="1"/>
    </row>
    <row r="2" spans="1:6" x14ac:dyDescent="0.3">
      <c r="A2" s="11">
        <v>2015</v>
      </c>
      <c r="B2" s="9">
        <v>81678</v>
      </c>
      <c r="C2" s="9">
        <v>72793</v>
      </c>
      <c r="D2" s="9">
        <v>85934</v>
      </c>
      <c r="E2" s="9">
        <v>98413</v>
      </c>
      <c r="F2" s="1"/>
    </row>
    <row r="3" spans="1:6" x14ac:dyDescent="0.3">
      <c r="A3" s="11">
        <v>2016</v>
      </c>
      <c r="B3" s="9">
        <v>57537</v>
      </c>
      <c r="C3" s="9">
        <v>90192</v>
      </c>
      <c r="D3" s="9">
        <v>64872</v>
      </c>
      <c r="E3" s="9">
        <v>49048</v>
      </c>
      <c r="F3" s="1"/>
    </row>
    <row r="4" spans="1:6" x14ac:dyDescent="0.3">
      <c r="A4" s="11">
        <v>2017</v>
      </c>
      <c r="B4" s="9">
        <v>98836</v>
      </c>
      <c r="C4" s="9">
        <v>86108</v>
      </c>
      <c r="D4" s="9">
        <v>93663</v>
      </c>
      <c r="E4" s="9">
        <v>60197</v>
      </c>
      <c r="F4" s="1"/>
    </row>
    <row r="5" spans="1:6" x14ac:dyDescent="0.3">
      <c r="A5" s="11">
        <v>2018</v>
      </c>
      <c r="B5" s="9">
        <v>75614</v>
      </c>
      <c r="C5" s="9">
        <v>92133</v>
      </c>
      <c r="D5" s="9">
        <v>20327</v>
      </c>
      <c r="E5" s="9">
        <v>68371</v>
      </c>
      <c r="F5" s="1"/>
    </row>
    <row r="6" spans="1:6" x14ac:dyDescent="0.3">
      <c r="A6" s="11">
        <v>2019</v>
      </c>
      <c r="B6" s="9">
        <v>37443</v>
      </c>
      <c r="C6" s="9">
        <v>98580</v>
      </c>
      <c r="D6" s="9">
        <v>23705</v>
      </c>
      <c r="E6" s="9">
        <v>53327</v>
      </c>
      <c r="F6" s="1"/>
    </row>
    <row r="7" spans="1:6" x14ac:dyDescent="0.3">
      <c r="A7" s="11">
        <v>2020</v>
      </c>
      <c r="B7" s="9">
        <v>36312</v>
      </c>
      <c r="C7" s="9">
        <v>71883</v>
      </c>
      <c r="D7" s="9">
        <v>79639</v>
      </c>
      <c r="E7" s="9">
        <v>97950</v>
      </c>
      <c r="F7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EF7E-F25A-49C4-88F5-67B950801BD1}">
  <dimension ref="A1:O25"/>
  <sheetViews>
    <sheetView showGridLines="0" zoomScale="120" zoomScaleNormal="120" workbookViewId="0"/>
  </sheetViews>
  <sheetFormatPr defaultRowHeight="14.4" x14ac:dyDescent="0.3"/>
  <cols>
    <col min="1" max="1" width="7.33203125" style="10" customWidth="1"/>
    <col min="2" max="5" width="12.21875" style="10" customWidth="1"/>
    <col min="11" max="15" width="0" style="5" hidden="1" customWidth="1"/>
  </cols>
  <sheetData>
    <row r="1" spans="1:15" x14ac:dyDescent="0.3">
      <c r="A1" s="7" t="s">
        <v>4</v>
      </c>
      <c r="B1" s="7" t="s">
        <v>0</v>
      </c>
      <c r="C1" s="7" t="s">
        <v>1</v>
      </c>
      <c r="D1" s="7" t="s">
        <v>2</v>
      </c>
      <c r="E1" s="7" t="s">
        <v>3</v>
      </c>
    </row>
    <row r="2" spans="1:15" x14ac:dyDescent="0.3">
      <c r="A2" s="8">
        <v>43466</v>
      </c>
      <c r="B2" s="9">
        <v>7173</v>
      </c>
      <c r="C2" s="9">
        <v>7943</v>
      </c>
      <c r="D2" s="9">
        <v>23613</v>
      </c>
      <c r="E2" s="9">
        <v>24983</v>
      </c>
      <c r="K2" s="5">
        <v>5</v>
      </c>
      <c r="M2" s="5" t="s">
        <v>0</v>
      </c>
      <c r="O2" s="4" cm="1">
        <f t="array" ref="O2">INDEX(B2:E25,K2,M7)</f>
        <v>50711</v>
      </c>
    </row>
    <row r="3" spans="1:15" x14ac:dyDescent="0.3">
      <c r="A3" s="8">
        <v>43497</v>
      </c>
      <c r="B3" s="9">
        <v>38345</v>
      </c>
      <c r="C3" s="9">
        <v>67490</v>
      </c>
      <c r="D3" s="9">
        <v>58425</v>
      </c>
      <c r="E3" s="9">
        <v>50473</v>
      </c>
      <c r="K3" s="6" cm="1">
        <f t="array" ref="K3">INDEX(A2:A25,K2)</f>
        <v>43586</v>
      </c>
      <c r="M3" s="5" t="s">
        <v>1</v>
      </c>
    </row>
    <row r="4" spans="1:15" x14ac:dyDescent="0.3">
      <c r="A4" s="8">
        <v>43525</v>
      </c>
      <c r="B4" s="9">
        <v>9662</v>
      </c>
      <c r="C4" s="9">
        <v>22007</v>
      </c>
      <c r="D4" s="9">
        <v>8166</v>
      </c>
      <c r="E4" s="9">
        <v>67070</v>
      </c>
      <c r="M4" s="5" t="s">
        <v>2</v>
      </c>
    </row>
    <row r="5" spans="1:15" x14ac:dyDescent="0.3">
      <c r="A5" s="8">
        <v>43556</v>
      </c>
      <c r="B5" s="9">
        <v>56229</v>
      </c>
      <c r="C5" s="9">
        <v>32075</v>
      </c>
      <c r="D5" s="9">
        <v>23288</v>
      </c>
      <c r="E5" s="9">
        <v>5821</v>
      </c>
      <c r="M5" s="5" t="s">
        <v>3</v>
      </c>
    </row>
    <row r="6" spans="1:15" x14ac:dyDescent="0.3">
      <c r="A6" s="8">
        <v>43586</v>
      </c>
      <c r="B6" s="9">
        <v>60587</v>
      </c>
      <c r="C6" s="9">
        <v>50711</v>
      </c>
      <c r="D6" s="9">
        <v>45276</v>
      </c>
      <c r="E6" s="9">
        <v>66043</v>
      </c>
    </row>
    <row r="7" spans="1:15" x14ac:dyDescent="0.3">
      <c r="A7" s="8">
        <v>43617</v>
      </c>
      <c r="B7" s="9">
        <v>35933</v>
      </c>
      <c r="C7" s="9">
        <v>11786</v>
      </c>
      <c r="D7" s="9">
        <v>4208</v>
      </c>
      <c r="E7" s="9">
        <v>34177</v>
      </c>
      <c r="M7" s="5">
        <v>2</v>
      </c>
    </row>
    <row r="8" spans="1:15" x14ac:dyDescent="0.3">
      <c r="A8" s="8">
        <v>43647</v>
      </c>
      <c r="B8" s="9">
        <v>18800</v>
      </c>
      <c r="C8" s="9">
        <v>10841</v>
      </c>
      <c r="D8" s="9">
        <v>53279</v>
      </c>
      <c r="E8" s="9">
        <v>25115</v>
      </c>
      <c r="M8" s="5" t="str" cm="1">
        <f t="array" ref="M8">INDEX(B1:E1,,M7)</f>
        <v>Marca B</v>
      </c>
    </row>
    <row r="9" spans="1:15" x14ac:dyDescent="0.3">
      <c r="A9" s="8">
        <v>43678</v>
      </c>
      <c r="B9" s="9">
        <v>20122</v>
      </c>
      <c r="C9" s="9">
        <v>2894</v>
      </c>
      <c r="D9" s="9">
        <v>7813</v>
      </c>
      <c r="E9" s="9">
        <v>56843</v>
      </c>
    </row>
    <row r="10" spans="1:15" x14ac:dyDescent="0.3">
      <c r="A10" s="8">
        <v>43709</v>
      </c>
      <c r="B10" s="9">
        <v>4669</v>
      </c>
      <c r="C10" s="9">
        <v>44550</v>
      </c>
      <c r="D10" s="9">
        <v>69769</v>
      </c>
      <c r="E10" s="9">
        <v>15858</v>
      </c>
    </row>
    <row r="11" spans="1:15" x14ac:dyDescent="0.3">
      <c r="A11" s="8">
        <v>43739</v>
      </c>
      <c r="B11" s="9">
        <v>14182</v>
      </c>
      <c r="C11" s="9">
        <v>1221</v>
      </c>
      <c r="D11" s="9">
        <v>21132</v>
      </c>
      <c r="E11" s="9">
        <v>1232</v>
      </c>
    </row>
    <row r="12" spans="1:15" x14ac:dyDescent="0.3">
      <c r="A12" s="8">
        <v>43770</v>
      </c>
      <c r="B12" s="9">
        <v>47528</v>
      </c>
      <c r="C12" s="9">
        <v>33980</v>
      </c>
      <c r="D12" s="9">
        <v>24529</v>
      </c>
      <c r="E12" s="9">
        <v>45022</v>
      </c>
    </row>
    <row r="13" spans="1:15" x14ac:dyDescent="0.3">
      <c r="A13" s="8">
        <v>43800</v>
      </c>
      <c r="B13" s="9">
        <v>46666</v>
      </c>
      <c r="C13" s="9">
        <v>52900</v>
      </c>
      <c r="D13" s="9">
        <v>19241</v>
      </c>
      <c r="E13" s="9">
        <v>9608</v>
      </c>
    </row>
    <row r="14" spans="1:15" x14ac:dyDescent="0.3">
      <c r="A14" s="8">
        <v>43831</v>
      </c>
      <c r="B14" s="9">
        <v>41189</v>
      </c>
      <c r="C14" s="9">
        <v>47015</v>
      </c>
      <c r="D14" s="9">
        <v>4245</v>
      </c>
      <c r="E14" s="9">
        <v>68534</v>
      </c>
    </row>
    <row r="15" spans="1:15" x14ac:dyDescent="0.3">
      <c r="A15" s="8">
        <v>43862</v>
      </c>
      <c r="B15" s="9">
        <v>21420</v>
      </c>
      <c r="C15" s="9">
        <v>44322</v>
      </c>
      <c r="D15" s="9">
        <v>53997</v>
      </c>
      <c r="E15" s="9">
        <v>52099</v>
      </c>
    </row>
    <row r="16" spans="1:15" x14ac:dyDescent="0.3">
      <c r="A16" s="8">
        <v>43891</v>
      </c>
      <c r="B16" s="9">
        <v>59388</v>
      </c>
      <c r="C16" s="9">
        <v>49318</v>
      </c>
      <c r="D16" s="9">
        <v>29169</v>
      </c>
      <c r="E16" s="9">
        <v>49938</v>
      </c>
    </row>
    <row r="17" spans="1:5" x14ac:dyDescent="0.3">
      <c r="A17" s="8">
        <v>43922</v>
      </c>
      <c r="B17" s="9">
        <v>48705</v>
      </c>
      <c r="C17" s="9">
        <v>33455</v>
      </c>
      <c r="D17" s="9">
        <v>17075</v>
      </c>
      <c r="E17" s="9">
        <v>44072</v>
      </c>
    </row>
    <row r="18" spans="1:5" x14ac:dyDescent="0.3">
      <c r="A18" s="8">
        <v>43952</v>
      </c>
      <c r="B18" s="9">
        <v>30607</v>
      </c>
      <c r="C18" s="9">
        <v>11768</v>
      </c>
      <c r="D18" s="9">
        <v>40615</v>
      </c>
      <c r="E18" s="9">
        <v>31737</v>
      </c>
    </row>
    <row r="19" spans="1:5" x14ac:dyDescent="0.3">
      <c r="A19" s="8">
        <v>43983</v>
      </c>
      <c r="B19" s="9">
        <v>16044</v>
      </c>
      <c r="C19" s="9">
        <v>41411</v>
      </c>
      <c r="D19" s="9">
        <v>47898</v>
      </c>
      <c r="E19" s="9">
        <v>52526</v>
      </c>
    </row>
    <row r="20" spans="1:5" x14ac:dyDescent="0.3">
      <c r="A20" s="8">
        <v>44013</v>
      </c>
      <c r="B20" s="9">
        <v>13703</v>
      </c>
      <c r="C20" s="9">
        <v>19340</v>
      </c>
      <c r="D20" s="9">
        <v>19660</v>
      </c>
      <c r="E20" s="9">
        <v>18097</v>
      </c>
    </row>
    <row r="21" spans="1:5" x14ac:dyDescent="0.3">
      <c r="A21" s="8">
        <v>44044</v>
      </c>
      <c r="B21" s="9">
        <v>60033</v>
      </c>
      <c r="C21" s="9">
        <v>15534</v>
      </c>
      <c r="D21" s="9">
        <v>32087</v>
      </c>
      <c r="E21" s="9">
        <v>54378</v>
      </c>
    </row>
    <row r="22" spans="1:5" x14ac:dyDescent="0.3">
      <c r="A22" s="8">
        <v>44075</v>
      </c>
      <c r="B22" s="9">
        <v>28495</v>
      </c>
      <c r="C22" s="9">
        <v>38884</v>
      </c>
      <c r="D22" s="9">
        <v>55352</v>
      </c>
      <c r="E22" s="9">
        <v>41896</v>
      </c>
    </row>
    <row r="23" spans="1:5" x14ac:dyDescent="0.3">
      <c r="A23" s="8">
        <v>44105</v>
      </c>
      <c r="B23" s="9">
        <v>6224</v>
      </c>
      <c r="C23" s="9">
        <v>26137</v>
      </c>
      <c r="D23" s="9">
        <v>41349</v>
      </c>
      <c r="E23" s="9">
        <v>63489</v>
      </c>
    </row>
    <row r="24" spans="1:5" x14ac:dyDescent="0.3">
      <c r="A24" s="8">
        <v>44136</v>
      </c>
      <c r="B24" s="9">
        <v>3021</v>
      </c>
      <c r="C24" s="9">
        <v>49880</v>
      </c>
      <c r="D24" s="9">
        <v>59340</v>
      </c>
      <c r="E24" s="9">
        <v>13416</v>
      </c>
    </row>
    <row r="25" spans="1:5" x14ac:dyDescent="0.3">
      <c r="A25" s="8">
        <v>44166</v>
      </c>
      <c r="B25" s="9">
        <v>21244</v>
      </c>
      <c r="C25" s="9">
        <v>57494</v>
      </c>
      <c r="D25" s="9">
        <v>64298</v>
      </c>
      <c r="E25" s="9">
        <v>12926</v>
      </c>
    </row>
  </sheetData>
  <conditionalFormatting sqref="B2:E25">
    <cfRule type="cellIs" dxfId="5" priority="1" operator="equal">
      <formula>$O$2</formula>
    </cfRule>
    <cfRule type="expression" dxfId="4" priority="5">
      <formula>$A2=$K$3</formula>
    </cfRule>
  </conditionalFormatting>
  <conditionalFormatting sqref="B2:B25">
    <cfRule type="expression" dxfId="3" priority="3">
      <formula>B$1=$M$8</formula>
    </cfRule>
  </conditionalFormatting>
  <conditionalFormatting sqref="C2:E25">
    <cfRule type="expression" dxfId="2" priority="2">
      <formula>C$1=$M$8</formula>
    </cfRule>
  </conditionalFormatting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List Box 1">
              <controlPr defaultSize="0" autoLine="0" autoPict="0">
                <anchor moveWithCells="1">
                  <from>
                    <xdr:col>6</xdr:col>
                    <xdr:colOff>0</xdr:colOff>
                    <xdr:row>0</xdr:row>
                    <xdr:rowOff>144780</xdr:rowOff>
                  </from>
                  <to>
                    <xdr:col>9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List Box 2">
              <controlPr defaultSize="0" autoLine="0" autoPict="0">
                <anchor moveWithCells="1">
                  <from>
                    <xdr:col>6</xdr:col>
                    <xdr:colOff>0</xdr:colOff>
                    <xdr:row>8</xdr:row>
                    <xdr:rowOff>0</xdr:rowOff>
                  </from>
                  <to>
                    <xdr:col>9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E3FC-8A55-44A3-A014-1C79490AFBDD}">
  <sheetPr>
    <tabColor theme="7"/>
  </sheetPr>
  <dimension ref="A1:E25"/>
  <sheetViews>
    <sheetView showGridLines="0" zoomScale="120" zoomScaleNormal="120" workbookViewId="0"/>
  </sheetViews>
  <sheetFormatPr defaultRowHeight="14.4" x14ac:dyDescent="0.3"/>
  <cols>
    <col min="1" max="1" width="7.33203125" style="10" customWidth="1"/>
    <col min="2" max="5" width="12.21875" style="10" customWidth="1"/>
  </cols>
  <sheetData>
    <row r="1" spans="1:5" x14ac:dyDescent="0.3">
      <c r="A1" s="7" t="s">
        <v>4</v>
      </c>
      <c r="B1" s="7" t="s">
        <v>0</v>
      </c>
      <c r="C1" s="7" t="s">
        <v>1</v>
      </c>
      <c r="D1" s="7" t="s">
        <v>2</v>
      </c>
      <c r="E1" s="7" t="s">
        <v>3</v>
      </c>
    </row>
    <row r="2" spans="1:5" x14ac:dyDescent="0.3">
      <c r="A2" s="8">
        <v>43466</v>
      </c>
      <c r="B2" s="9">
        <v>7173</v>
      </c>
      <c r="C2" s="9">
        <v>7943</v>
      </c>
      <c r="D2" s="9">
        <v>23613</v>
      </c>
      <c r="E2" s="9">
        <v>24983</v>
      </c>
    </row>
    <row r="3" spans="1:5" x14ac:dyDescent="0.3">
      <c r="A3" s="8">
        <v>43497</v>
      </c>
      <c r="B3" s="9">
        <v>38345</v>
      </c>
      <c r="C3" s="9">
        <v>67490</v>
      </c>
      <c r="D3" s="9">
        <v>58425</v>
      </c>
      <c r="E3" s="9">
        <v>50473</v>
      </c>
    </row>
    <row r="4" spans="1:5" x14ac:dyDescent="0.3">
      <c r="A4" s="8">
        <v>43525</v>
      </c>
      <c r="B4" s="9">
        <v>9662</v>
      </c>
      <c r="C4" s="9">
        <v>22007</v>
      </c>
      <c r="D4" s="9">
        <v>8166</v>
      </c>
      <c r="E4" s="9">
        <v>67070</v>
      </c>
    </row>
    <row r="5" spans="1:5" x14ac:dyDescent="0.3">
      <c r="A5" s="8">
        <v>43556</v>
      </c>
      <c r="B5" s="9">
        <v>56229</v>
      </c>
      <c r="C5" s="9">
        <v>32075</v>
      </c>
      <c r="D5" s="9">
        <v>23288</v>
      </c>
      <c r="E5" s="9">
        <v>5821</v>
      </c>
    </row>
    <row r="6" spans="1:5" x14ac:dyDescent="0.3">
      <c r="A6" s="8">
        <v>43586</v>
      </c>
      <c r="B6" s="9">
        <v>60587</v>
      </c>
      <c r="C6" s="9">
        <v>50711</v>
      </c>
      <c r="D6" s="9">
        <v>45276</v>
      </c>
      <c r="E6" s="9">
        <v>66043</v>
      </c>
    </row>
    <row r="7" spans="1:5" x14ac:dyDescent="0.3">
      <c r="A7" s="8">
        <v>43617</v>
      </c>
      <c r="B7" s="9">
        <v>35933</v>
      </c>
      <c r="C7" s="9">
        <v>11786</v>
      </c>
      <c r="D7" s="9">
        <v>4208</v>
      </c>
      <c r="E7" s="9">
        <v>34177</v>
      </c>
    </row>
    <row r="8" spans="1:5" x14ac:dyDescent="0.3">
      <c r="A8" s="8">
        <v>43647</v>
      </c>
      <c r="B8" s="9">
        <v>18800</v>
      </c>
      <c r="C8" s="9">
        <v>10841</v>
      </c>
      <c r="D8" s="9">
        <v>53279</v>
      </c>
      <c r="E8" s="9">
        <v>25115</v>
      </c>
    </row>
    <row r="9" spans="1:5" x14ac:dyDescent="0.3">
      <c r="A9" s="8">
        <v>43678</v>
      </c>
      <c r="B9" s="9">
        <v>20122</v>
      </c>
      <c r="C9" s="9">
        <v>2894</v>
      </c>
      <c r="D9" s="9">
        <v>7813</v>
      </c>
      <c r="E9" s="9">
        <v>56843</v>
      </c>
    </row>
    <row r="10" spans="1:5" x14ac:dyDescent="0.3">
      <c r="A10" s="8">
        <v>43709</v>
      </c>
      <c r="B10" s="9">
        <v>4669</v>
      </c>
      <c r="C10" s="9">
        <v>44550</v>
      </c>
      <c r="D10" s="9">
        <v>69769</v>
      </c>
      <c r="E10" s="9">
        <v>15858</v>
      </c>
    </row>
    <row r="11" spans="1:5" x14ac:dyDescent="0.3">
      <c r="A11" s="8">
        <v>43739</v>
      </c>
      <c r="B11" s="9">
        <v>14182</v>
      </c>
      <c r="C11" s="9">
        <v>1221</v>
      </c>
      <c r="D11" s="9">
        <v>21132</v>
      </c>
      <c r="E11" s="9">
        <v>1232</v>
      </c>
    </row>
    <row r="12" spans="1:5" x14ac:dyDescent="0.3">
      <c r="A12" s="8">
        <v>43770</v>
      </c>
      <c r="B12" s="9">
        <v>47528</v>
      </c>
      <c r="C12" s="9">
        <v>33980</v>
      </c>
      <c r="D12" s="9">
        <v>24529</v>
      </c>
      <c r="E12" s="9">
        <v>45022</v>
      </c>
    </row>
    <row r="13" spans="1:5" x14ac:dyDescent="0.3">
      <c r="A13" s="8">
        <v>43800</v>
      </c>
      <c r="B13" s="9">
        <v>46666</v>
      </c>
      <c r="C13" s="9">
        <v>52900</v>
      </c>
      <c r="D13" s="9">
        <v>19241</v>
      </c>
      <c r="E13" s="9">
        <v>9608</v>
      </c>
    </row>
    <row r="14" spans="1:5" x14ac:dyDescent="0.3">
      <c r="A14" s="8">
        <v>43831</v>
      </c>
      <c r="B14" s="9">
        <v>41189</v>
      </c>
      <c r="C14" s="9">
        <v>47015</v>
      </c>
      <c r="D14" s="9">
        <v>4245</v>
      </c>
      <c r="E14" s="9">
        <v>68534</v>
      </c>
    </row>
    <row r="15" spans="1:5" x14ac:dyDescent="0.3">
      <c r="A15" s="8">
        <v>43862</v>
      </c>
      <c r="B15" s="9">
        <v>21420</v>
      </c>
      <c r="C15" s="9">
        <v>44322</v>
      </c>
      <c r="D15" s="9">
        <v>53997</v>
      </c>
      <c r="E15" s="9">
        <v>52099</v>
      </c>
    </row>
    <row r="16" spans="1:5" x14ac:dyDescent="0.3">
      <c r="A16" s="8">
        <v>43891</v>
      </c>
      <c r="B16" s="9">
        <v>59388</v>
      </c>
      <c r="C16" s="9">
        <v>49318</v>
      </c>
      <c r="D16" s="9">
        <v>29169</v>
      </c>
      <c r="E16" s="9">
        <v>49938</v>
      </c>
    </row>
    <row r="17" spans="1:5" x14ac:dyDescent="0.3">
      <c r="A17" s="8">
        <v>43922</v>
      </c>
      <c r="B17" s="9">
        <v>48705</v>
      </c>
      <c r="C17" s="9">
        <v>33455</v>
      </c>
      <c r="D17" s="9">
        <v>17075</v>
      </c>
      <c r="E17" s="9">
        <v>44072</v>
      </c>
    </row>
    <row r="18" spans="1:5" x14ac:dyDescent="0.3">
      <c r="A18" s="8">
        <v>43952</v>
      </c>
      <c r="B18" s="9">
        <v>30607</v>
      </c>
      <c r="C18" s="9">
        <v>11768</v>
      </c>
      <c r="D18" s="9">
        <v>40615</v>
      </c>
      <c r="E18" s="9">
        <v>31737</v>
      </c>
    </row>
    <row r="19" spans="1:5" x14ac:dyDescent="0.3">
      <c r="A19" s="8">
        <v>43983</v>
      </c>
      <c r="B19" s="9">
        <v>16044</v>
      </c>
      <c r="C19" s="9">
        <v>41411</v>
      </c>
      <c r="D19" s="9">
        <v>47898</v>
      </c>
      <c r="E19" s="9">
        <v>52526</v>
      </c>
    </row>
    <row r="20" spans="1:5" x14ac:dyDescent="0.3">
      <c r="A20" s="8">
        <v>44013</v>
      </c>
      <c r="B20" s="9">
        <v>13703</v>
      </c>
      <c r="C20" s="9">
        <v>19340</v>
      </c>
      <c r="D20" s="9">
        <v>19660</v>
      </c>
      <c r="E20" s="9">
        <v>18097</v>
      </c>
    </row>
    <row r="21" spans="1:5" x14ac:dyDescent="0.3">
      <c r="A21" s="8">
        <v>44044</v>
      </c>
      <c r="B21" s="9">
        <v>60033</v>
      </c>
      <c r="C21" s="9">
        <v>15534</v>
      </c>
      <c r="D21" s="9">
        <v>32087</v>
      </c>
      <c r="E21" s="9">
        <v>54378</v>
      </c>
    </row>
    <row r="22" spans="1:5" x14ac:dyDescent="0.3">
      <c r="A22" s="8">
        <v>44075</v>
      </c>
      <c r="B22" s="9">
        <v>28495</v>
      </c>
      <c r="C22" s="9">
        <v>38884</v>
      </c>
      <c r="D22" s="9">
        <v>55352</v>
      </c>
      <c r="E22" s="9">
        <v>41896</v>
      </c>
    </row>
    <row r="23" spans="1:5" x14ac:dyDescent="0.3">
      <c r="A23" s="8">
        <v>44105</v>
      </c>
      <c r="B23" s="9">
        <v>6224</v>
      </c>
      <c r="C23" s="9">
        <v>26137</v>
      </c>
      <c r="D23" s="9">
        <v>41349</v>
      </c>
      <c r="E23" s="9">
        <v>63489</v>
      </c>
    </row>
    <row r="24" spans="1:5" x14ac:dyDescent="0.3">
      <c r="A24" s="8">
        <v>44136</v>
      </c>
      <c r="B24" s="9">
        <v>3021</v>
      </c>
      <c r="C24" s="9">
        <v>49880</v>
      </c>
      <c r="D24" s="9">
        <v>59340</v>
      </c>
      <c r="E24" s="9">
        <v>13416</v>
      </c>
    </row>
    <row r="25" spans="1:5" x14ac:dyDescent="0.3">
      <c r="A25" s="8">
        <v>44166</v>
      </c>
      <c r="B25" s="9">
        <v>21244</v>
      </c>
      <c r="C25" s="9">
        <v>57494</v>
      </c>
      <c r="D25" s="9">
        <v>64298</v>
      </c>
      <c r="E25" s="9">
        <v>12926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268F-2FBF-40E7-8C63-7FC24937F751}">
  <dimension ref="A1:N8"/>
  <sheetViews>
    <sheetView showGridLines="0" zoomScale="120" zoomScaleNormal="120" workbookViewId="0"/>
  </sheetViews>
  <sheetFormatPr defaultRowHeight="14.4" x14ac:dyDescent="0.3"/>
  <cols>
    <col min="1" max="1" width="7.33203125" customWidth="1"/>
    <col min="2" max="5" width="12.21875" customWidth="1"/>
    <col min="6" max="6" width="7.21875" customWidth="1"/>
    <col min="8" max="8" width="0" hidden="1" customWidth="1"/>
    <col min="9" max="9" width="0" style="3" hidden="1" customWidth="1"/>
    <col min="10" max="14" width="8.88671875" style="3" hidden="1" customWidth="1"/>
  </cols>
  <sheetData>
    <row r="1" spans="1:14" x14ac:dyDescent="0.3">
      <c r="A1" s="7" t="s">
        <v>4</v>
      </c>
      <c r="B1" s="7" t="s">
        <v>0</v>
      </c>
      <c r="C1" s="7" t="s">
        <v>1</v>
      </c>
      <c r="D1" s="7" t="s">
        <v>2</v>
      </c>
      <c r="E1" s="7" t="s">
        <v>3</v>
      </c>
      <c r="F1" s="1"/>
      <c r="H1" s="1">
        <v>6</v>
      </c>
    </row>
    <row r="2" spans="1:14" x14ac:dyDescent="0.3">
      <c r="A2" s="11">
        <v>2015</v>
      </c>
      <c r="B2" s="9">
        <v>81678</v>
      </c>
      <c r="C2" s="9">
        <v>72793</v>
      </c>
      <c r="D2" s="9">
        <v>85934</v>
      </c>
      <c r="E2" s="9">
        <v>98413</v>
      </c>
      <c r="F2" s="1"/>
      <c r="H2" s="1">
        <f>H1*10000</f>
        <v>60000</v>
      </c>
      <c r="J2" s="5">
        <v>4</v>
      </c>
    </row>
    <row r="3" spans="1:14" x14ac:dyDescent="0.3">
      <c r="A3" s="11">
        <v>2016</v>
      </c>
      <c r="B3" s="9">
        <v>57537</v>
      </c>
      <c r="C3" s="9">
        <v>90192</v>
      </c>
      <c r="D3" s="9">
        <v>64872</v>
      </c>
      <c r="E3" s="9">
        <v>49048</v>
      </c>
      <c r="F3" s="1"/>
      <c r="J3" s="5" cm="1">
        <f t="array" ref="J3">INDEX(A2:A7,$J$2)</f>
        <v>2018</v>
      </c>
      <c r="K3" s="4" cm="1">
        <f t="array" ref="K3">INDEX(B2:B7,$J$2)</f>
        <v>45984</v>
      </c>
      <c r="L3" s="4" cm="1">
        <f t="array" ref="L3">INDEX(C2:C7,$J$2)</f>
        <v>92133</v>
      </c>
      <c r="M3" s="4" cm="1">
        <f t="array" ref="M3">INDEX(D2:D7,$J$2)</f>
        <v>20327</v>
      </c>
      <c r="N3" s="4" cm="1">
        <f t="array" ref="N3">INDEX(E2:E7,$J$2)</f>
        <v>68371</v>
      </c>
    </row>
    <row r="4" spans="1:14" x14ac:dyDescent="0.3">
      <c r="A4" s="11">
        <v>2017</v>
      </c>
      <c r="B4" s="9">
        <v>98836</v>
      </c>
      <c r="C4" s="9">
        <v>86108</v>
      </c>
      <c r="D4" s="9">
        <v>93663</v>
      </c>
      <c r="E4" s="9">
        <v>60197</v>
      </c>
      <c r="F4" s="1"/>
      <c r="J4" s="3" t="s">
        <v>6</v>
      </c>
      <c r="K4" s="4">
        <f>IF(K3&gt;=$H$2,K3,0)</f>
        <v>0</v>
      </c>
      <c r="L4" s="4">
        <f t="shared" ref="L4:N4" si="0">IF(L3&gt;=$H$2,L3,0)</f>
        <v>92133</v>
      </c>
      <c r="M4" s="4">
        <f t="shared" si="0"/>
        <v>0</v>
      </c>
      <c r="N4" s="4">
        <f t="shared" si="0"/>
        <v>68371</v>
      </c>
    </row>
    <row r="5" spans="1:14" x14ac:dyDescent="0.3">
      <c r="A5" s="11">
        <v>2018</v>
      </c>
      <c r="B5" s="9">
        <v>45984</v>
      </c>
      <c r="C5" s="9">
        <v>92133</v>
      </c>
      <c r="D5" s="9">
        <v>20327</v>
      </c>
      <c r="E5" s="9">
        <v>68371</v>
      </c>
      <c r="F5" s="1"/>
      <c r="J5" s="3" t="s">
        <v>7</v>
      </c>
      <c r="K5" s="4">
        <f>IF(K3&lt;$H$2,K3,0)</f>
        <v>45984</v>
      </c>
      <c r="L5" s="4">
        <f t="shared" ref="L5:N5" si="1">IF(L3&lt;$H$2,L3,0)</f>
        <v>0</v>
      </c>
      <c r="M5" s="4">
        <f t="shared" si="1"/>
        <v>20327</v>
      </c>
      <c r="N5" s="4">
        <f t="shared" si="1"/>
        <v>0</v>
      </c>
    </row>
    <row r="6" spans="1:14" x14ac:dyDescent="0.3">
      <c r="A6" s="11">
        <v>2019</v>
      </c>
      <c r="B6" s="9">
        <v>37443</v>
      </c>
      <c r="C6" s="9">
        <v>98580</v>
      </c>
      <c r="D6" s="9">
        <v>23705</v>
      </c>
      <c r="E6" s="9">
        <v>53327</v>
      </c>
      <c r="F6" s="1"/>
    </row>
    <row r="7" spans="1:14" x14ac:dyDescent="0.3">
      <c r="A7" s="11">
        <v>2020</v>
      </c>
      <c r="B7" s="9">
        <v>36312</v>
      </c>
      <c r="C7" s="9">
        <v>71883</v>
      </c>
      <c r="D7" s="9">
        <v>79639</v>
      </c>
      <c r="E7" s="9">
        <v>97950</v>
      </c>
      <c r="F7" s="1"/>
    </row>
    <row r="8" spans="1:14" x14ac:dyDescent="0.3">
      <c r="A8" s="11" t="s">
        <v>5</v>
      </c>
      <c r="B8" s="12">
        <f>$H$2</f>
        <v>60000</v>
      </c>
      <c r="C8" s="12">
        <f t="shared" ref="C8:E8" si="2">$H$2</f>
        <v>60000</v>
      </c>
      <c r="D8" s="12">
        <f t="shared" si="2"/>
        <v>60000</v>
      </c>
      <c r="E8" s="12">
        <f t="shared" si="2"/>
        <v>60000</v>
      </c>
      <c r="F8" s="1"/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Drop Down 1">
              <controlPr defaultSize="0" autoLine="0" autoPict="0">
                <anchor moveWithCells="1">
                  <from>
                    <xdr:col>0</xdr:col>
                    <xdr:colOff>129540</xdr:colOff>
                    <xdr:row>9</xdr:row>
                    <xdr:rowOff>38100</xdr:rowOff>
                  </from>
                  <to>
                    <xdr:col>2</xdr:col>
                    <xdr:colOff>7620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Spinner 2">
              <controlPr defaultSize="0" autoPict="0">
                <anchor moveWithCells="1" sizeWithCells="1">
                  <from>
                    <xdr:col>0</xdr:col>
                    <xdr:colOff>7620</xdr:colOff>
                    <xdr:row>7</xdr:row>
                    <xdr:rowOff>0</xdr:rowOff>
                  </from>
                  <to>
                    <xdr:col>1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4F5B-6DFD-4112-8702-1C73E0E174DF}">
  <sheetPr>
    <tabColor theme="7"/>
  </sheetPr>
  <dimension ref="A1:F8"/>
  <sheetViews>
    <sheetView showGridLines="0" zoomScale="120" zoomScaleNormal="120" workbookViewId="0"/>
  </sheetViews>
  <sheetFormatPr defaultRowHeight="14.4" x14ac:dyDescent="0.3"/>
  <cols>
    <col min="1" max="1" width="7.33203125" customWidth="1"/>
    <col min="2" max="5" width="12.21875" customWidth="1"/>
    <col min="6" max="6" width="7.21875" customWidth="1"/>
  </cols>
  <sheetData>
    <row r="1" spans="1:6" x14ac:dyDescent="0.3">
      <c r="A1" s="7" t="s">
        <v>4</v>
      </c>
      <c r="B1" s="7" t="s">
        <v>0</v>
      </c>
      <c r="C1" s="7" t="s">
        <v>1</v>
      </c>
      <c r="D1" s="7" t="s">
        <v>2</v>
      </c>
      <c r="E1" s="7" t="s">
        <v>3</v>
      </c>
      <c r="F1" s="1"/>
    </row>
    <row r="2" spans="1:6" x14ac:dyDescent="0.3">
      <c r="A2" s="11">
        <v>2015</v>
      </c>
      <c r="B2" s="9">
        <v>81678</v>
      </c>
      <c r="C2" s="9">
        <v>72793</v>
      </c>
      <c r="D2" s="9">
        <v>85934</v>
      </c>
      <c r="E2" s="9">
        <v>98413</v>
      </c>
      <c r="F2" s="1"/>
    </row>
    <row r="3" spans="1:6" x14ac:dyDescent="0.3">
      <c r="A3" s="11">
        <v>2016</v>
      </c>
      <c r="B3" s="9">
        <v>57537</v>
      </c>
      <c r="C3" s="9">
        <v>90192</v>
      </c>
      <c r="D3" s="9">
        <v>64872</v>
      </c>
      <c r="E3" s="9">
        <v>49048</v>
      </c>
      <c r="F3" s="1"/>
    </row>
    <row r="4" spans="1:6" x14ac:dyDescent="0.3">
      <c r="A4" s="11">
        <v>2017</v>
      </c>
      <c r="B4" s="9">
        <v>98836</v>
      </c>
      <c r="C4" s="9">
        <v>86108</v>
      </c>
      <c r="D4" s="9">
        <v>93663</v>
      </c>
      <c r="E4" s="9">
        <v>60197</v>
      </c>
      <c r="F4" s="1"/>
    </row>
    <row r="5" spans="1:6" x14ac:dyDescent="0.3">
      <c r="A5" s="11">
        <v>2018</v>
      </c>
      <c r="B5" s="9">
        <v>45984</v>
      </c>
      <c r="C5" s="9">
        <v>92133</v>
      </c>
      <c r="D5" s="9">
        <v>20327</v>
      </c>
      <c r="E5" s="9">
        <v>68371</v>
      </c>
      <c r="F5" s="1"/>
    </row>
    <row r="6" spans="1:6" x14ac:dyDescent="0.3">
      <c r="A6" s="11">
        <v>2019</v>
      </c>
      <c r="B6" s="9">
        <v>37443</v>
      </c>
      <c r="C6" s="9">
        <v>98580</v>
      </c>
      <c r="D6" s="9">
        <v>23705</v>
      </c>
      <c r="E6" s="9">
        <v>53327</v>
      </c>
      <c r="F6" s="1"/>
    </row>
    <row r="7" spans="1:6" x14ac:dyDescent="0.3">
      <c r="A7" s="11">
        <v>2020</v>
      </c>
      <c r="B7" s="9">
        <v>36312</v>
      </c>
      <c r="C7" s="9">
        <v>71883</v>
      </c>
      <c r="D7" s="9">
        <v>79639</v>
      </c>
      <c r="E7" s="9">
        <v>97950</v>
      </c>
      <c r="F7" s="1"/>
    </row>
    <row r="8" spans="1:6" x14ac:dyDescent="0.3">
      <c r="A8" s="11" t="s">
        <v>5</v>
      </c>
      <c r="B8" s="12"/>
      <c r="C8" s="12"/>
      <c r="D8" s="12"/>
      <c r="E8" s="12"/>
      <c r="F8" s="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2D24-FB0C-4508-B203-BC03DE32BBE3}">
  <dimension ref="B2:I8"/>
  <sheetViews>
    <sheetView showGridLines="0" zoomScale="120" zoomScaleNormal="120" workbookViewId="0"/>
  </sheetViews>
  <sheetFormatPr defaultRowHeight="14.4" x14ac:dyDescent="0.3"/>
  <cols>
    <col min="1" max="1" width="3.33203125" customWidth="1"/>
    <col min="2" max="2" width="11.88671875" bestFit="1" customWidth="1"/>
    <col min="3" max="3" width="11.5546875" bestFit="1" customWidth="1"/>
    <col min="9" max="9" width="8.88671875" customWidth="1"/>
  </cols>
  <sheetData>
    <row r="2" spans="2:9" x14ac:dyDescent="0.3">
      <c r="I2">
        <v>70</v>
      </c>
    </row>
    <row r="5" spans="2:9" x14ac:dyDescent="0.3">
      <c r="B5" s="13" t="s">
        <v>11</v>
      </c>
      <c r="C5" s="14">
        <f>I2*1000</f>
        <v>70000</v>
      </c>
    </row>
    <row r="6" spans="2:9" x14ac:dyDescent="0.3">
      <c r="B6" s="15" t="s">
        <v>8</v>
      </c>
      <c r="C6" s="16">
        <v>50000</v>
      </c>
    </row>
    <row r="7" spans="2:9" x14ac:dyDescent="0.3">
      <c r="B7" s="18" t="s">
        <v>9</v>
      </c>
      <c r="C7" s="19">
        <f>C5-C6</f>
        <v>20000</v>
      </c>
    </row>
    <row r="8" spans="2:9" x14ac:dyDescent="0.3">
      <c r="B8" s="2" t="s">
        <v>10</v>
      </c>
      <c r="C8" s="20">
        <f>C7/C5</f>
        <v>0.2857142857142857</v>
      </c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0" r:id="rId3" name="Scroll Bar 2">
              <controlPr defaultSize="0" autoPict="0">
                <anchor moveWithCells="1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5</xdr:col>
                    <xdr:colOff>449580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4C54-6B4F-4330-8F14-86A0AED00443}">
  <sheetPr>
    <tabColor theme="7"/>
  </sheetPr>
  <dimension ref="B5:C8"/>
  <sheetViews>
    <sheetView showGridLines="0" zoomScale="120" zoomScaleNormal="120" workbookViewId="0"/>
  </sheetViews>
  <sheetFormatPr defaultRowHeight="14.4" x14ac:dyDescent="0.3"/>
  <cols>
    <col min="1" max="1" width="3.33203125" customWidth="1"/>
    <col min="2" max="2" width="11.88671875" bestFit="1" customWidth="1"/>
    <col min="3" max="3" width="11.5546875" bestFit="1" customWidth="1"/>
  </cols>
  <sheetData>
    <row r="5" spans="2:3" x14ac:dyDescent="0.3">
      <c r="B5" s="13" t="s">
        <v>11</v>
      </c>
      <c r="C5" s="14"/>
    </row>
    <row r="6" spans="2:3" x14ac:dyDescent="0.3">
      <c r="B6" s="15" t="s">
        <v>8</v>
      </c>
      <c r="C6" s="16">
        <v>50000</v>
      </c>
    </row>
    <row r="7" spans="2:3" x14ac:dyDescent="0.3">
      <c r="B7" s="18" t="s">
        <v>9</v>
      </c>
      <c r="C7" s="19"/>
    </row>
    <row r="8" spans="2:3" x14ac:dyDescent="0.3">
      <c r="B8" s="2" t="s">
        <v>10</v>
      </c>
      <c r="C8" s="20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FDEB-AA4C-4379-916A-1AA7124428F0}">
  <dimension ref="A1:C11"/>
  <sheetViews>
    <sheetView showGridLines="0" zoomScale="120" zoomScaleNormal="120" workbookViewId="0"/>
  </sheetViews>
  <sheetFormatPr defaultRowHeight="14.4" x14ac:dyDescent="0.3"/>
  <cols>
    <col min="1" max="1" width="17.5546875" style="3" customWidth="1"/>
    <col min="2" max="2" width="14" style="5" hidden="1" customWidth="1"/>
    <col min="8" max="8" width="12" bestFit="1" customWidth="1"/>
  </cols>
  <sheetData>
    <row r="1" spans="1:3" x14ac:dyDescent="0.3">
      <c r="A1" s="3" t="s">
        <v>12</v>
      </c>
      <c r="C1" s="17">
        <f>COUNTIFS(B2:B11,TRUE)/COUNTA(B2:B11)</f>
        <v>0.3</v>
      </c>
    </row>
    <row r="2" spans="1:3" x14ac:dyDescent="0.3">
      <c r="A2" s="3" t="s">
        <v>13</v>
      </c>
      <c r="B2" s="5" t="b">
        <v>0</v>
      </c>
    </row>
    <row r="3" spans="1:3" x14ac:dyDescent="0.3">
      <c r="A3" s="3" t="s">
        <v>14</v>
      </c>
      <c r="B3" s="5" t="b">
        <v>0</v>
      </c>
    </row>
    <row r="4" spans="1:3" x14ac:dyDescent="0.3">
      <c r="A4" s="3" t="s">
        <v>15</v>
      </c>
      <c r="B4" s="5" t="b">
        <v>0</v>
      </c>
    </row>
    <row r="5" spans="1:3" x14ac:dyDescent="0.3">
      <c r="A5" s="3" t="s">
        <v>16</v>
      </c>
      <c r="B5" s="5" t="b">
        <v>0</v>
      </c>
    </row>
    <row r="6" spans="1:3" x14ac:dyDescent="0.3">
      <c r="A6" s="3" t="s">
        <v>17</v>
      </c>
      <c r="B6" s="5" t="b">
        <v>1</v>
      </c>
    </row>
    <row r="7" spans="1:3" x14ac:dyDescent="0.3">
      <c r="A7" s="3" t="s">
        <v>18</v>
      </c>
      <c r="B7" s="5" t="b">
        <v>0</v>
      </c>
    </row>
    <row r="8" spans="1:3" x14ac:dyDescent="0.3">
      <c r="A8" s="3" t="s">
        <v>19</v>
      </c>
      <c r="B8" s="5" t="b">
        <v>1</v>
      </c>
    </row>
    <row r="9" spans="1:3" x14ac:dyDescent="0.3">
      <c r="A9" s="3" t="s">
        <v>20</v>
      </c>
      <c r="B9" s="5" t="b">
        <v>1</v>
      </c>
    </row>
    <row r="10" spans="1:3" x14ac:dyDescent="0.3">
      <c r="A10" s="3" t="s">
        <v>21</v>
      </c>
      <c r="B10" s="5" t="b">
        <v>0</v>
      </c>
    </row>
    <row r="11" spans="1:3" x14ac:dyDescent="0.3">
      <c r="A11" s="3" t="s">
        <v>22</v>
      </c>
      <c r="B11" s="5" t="b">
        <v>0</v>
      </c>
    </row>
  </sheetData>
  <phoneticPr fontId="3" type="noConversion"/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56" r:id="rId3" name="Check Box 12">
              <controlPr defaultSize="0" autoFill="0" autoLine="0" autoPict="0">
                <anchor moveWithCells="1">
                  <from>
                    <xdr:col>0</xdr:col>
                    <xdr:colOff>647700</xdr:colOff>
                    <xdr:row>0</xdr:row>
                    <xdr:rowOff>160020</xdr:rowOff>
                  </from>
                  <to>
                    <xdr:col>0</xdr:col>
                    <xdr:colOff>1066800</xdr:colOff>
                    <xdr:row>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4" name="Check Box 14">
              <controlPr defaultSize="0" autoFill="0" autoLine="0" autoPict="0">
                <anchor moveWithCells="1">
                  <from>
                    <xdr:col>0</xdr:col>
                    <xdr:colOff>647700</xdr:colOff>
                    <xdr:row>1</xdr:row>
                    <xdr:rowOff>160020</xdr:rowOff>
                  </from>
                  <to>
                    <xdr:col>0</xdr:col>
                    <xdr:colOff>1066800</xdr:colOff>
                    <xdr:row>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5" name="Check Box 15">
              <controlPr defaultSize="0" autoFill="0" autoLine="0" autoPict="0">
                <anchor moveWithCells="1">
                  <from>
                    <xdr:col>0</xdr:col>
                    <xdr:colOff>647700</xdr:colOff>
                    <xdr:row>2</xdr:row>
                    <xdr:rowOff>160020</xdr:rowOff>
                  </from>
                  <to>
                    <xdr:col>0</xdr:col>
                    <xdr:colOff>1066800</xdr:colOff>
                    <xdr:row>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6" name="Check Box 16">
              <controlPr defaultSize="0" autoFill="0" autoLine="0" autoPict="0">
                <anchor moveWithCells="1">
                  <from>
                    <xdr:col>0</xdr:col>
                    <xdr:colOff>655320</xdr:colOff>
                    <xdr:row>3</xdr:row>
                    <xdr:rowOff>160020</xdr:rowOff>
                  </from>
                  <to>
                    <xdr:col>0</xdr:col>
                    <xdr:colOff>1066800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7" name="Check Box 17">
              <controlPr defaultSize="0" autoFill="0" autoLine="0" autoPict="0">
                <anchor moveWithCells="1">
                  <from>
                    <xdr:col>0</xdr:col>
                    <xdr:colOff>647700</xdr:colOff>
                    <xdr:row>4</xdr:row>
                    <xdr:rowOff>160020</xdr:rowOff>
                  </from>
                  <to>
                    <xdr:col>0</xdr:col>
                    <xdr:colOff>1066800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8" name="Check Box 18">
              <controlPr defaultSize="0" autoFill="0" autoLine="0" autoPict="0">
                <anchor moveWithCells="1">
                  <from>
                    <xdr:col>0</xdr:col>
                    <xdr:colOff>647700</xdr:colOff>
                    <xdr:row>5</xdr:row>
                    <xdr:rowOff>160020</xdr:rowOff>
                  </from>
                  <to>
                    <xdr:col>0</xdr:col>
                    <xdr:colOff>1066800</xdr:colOff>
                    <xdr:row>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9" name="Check Box 22">
              <controlPr defaultSize="0" autoFill="0" autoLine="0" autoPict="0">
                <anchor moveWithCells="1">
                  <from>
                    <xdr:col>0</xdr:col>
                    <xdr:colOff>655320</xdr:colOff>
                    <xdr:row>6</xdr:row>
                    <xdr:rowOff>167640</xdr:rowOff>
                  </from>
                  <to>
                    <xdr:col>0</xdr:col>
                    <xdr:colOff>1066800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10" name="Check Box 23">
              <controlPr defaultSize="0" autoFill="0" autoLine="0" autoPict="0">
                <anchor moveWithCells="1">
                  <from>
                    <xdr:col>0</xdr:col>
                    <xdr:colOff>647700</xdr:colOff>
                    <xdr:row>7</xdr:row>
                    <xdr:rowOff>167640</xdr:rowOff>
                  </from>
                  <to>
                    <xdr:col>0</xdr:col>
                    <xdr:colOff>1066800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11" name="Check Box 24">
              <controlPr defaultSize="0" autoFill="0" autoLine="0" autoPict="0">
                <anchor moveWithCells="1">
                  <from>
                    <xdr:col>0</xdr:col>
                    <xdr:colOff>647700</xdr:colOff>
                    <xdr:row>8</xdr:row>
                    <xdr:rowOff>167640</xdr:rowOff>
                  </from>
                  <to>
                    <xdr:col>0</xdr:col>
                    <xdr:colOff>1066800</xdr:colOff>
                    <xdr:row>10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12" name="Check Box 25">
              <controlPr defaultSize="0" autoFill="0" autoLine="0" autoPict="0">
                <anchor moveWithCells="1">
                  <from>
                    <xdr:col>0</xdr:col>
                    <xdr:colOff>655320</xdr:colOff>
                    <xdr:row>9</xdr:row>
                    <xdr:rowOff>167640</xdr:rowOff>
                  </from>
                  <to>
                    <xdr:col>0</xdr:col>
                    <xdr:colOff>1066800</xdr:colOff>
                    <xdr:row>11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3E37-4E7A-443F-AF33-9B504BF56E09}">
  <sheetPr>
    <tabColor theme="7"/>
  </sheetPr>
  <dimension ref="A1:A11"/>
  <sheetViews>
    <sheetView showGridLines="0" zoomScale="120" zoomScaleNormal="120" workbookViewId="0"/>
  </sheetViews>
  <sheetFormatPr defaultRowHeight="14.4" x14ac:dyDescent="0.3"/>
  <cols>
    <col min="1" max="1" width="17.5546875" style="3" customWidth="1"/>
    <col min="6" max="6" width="12" bestFit="1" customWidth="1"/>
  </cols>
  <sheetData>
    <row r="1" spans="1:1" x14ac:dyDescent="0.3">
      <c r="A1" s="3" t="s">
        <v>12</v>
      </c>
    </row>
    <row r="2" spans="1:1" x14ac:dyDescent="0.3">
      <c r="A2" s="3" t="s">
        <v>13</v>
      </c>
    </row>
    <row r="3" spans="1:1" x14ac:dyDescent="0.3">
      <c r="A3" s="3" t="s">
        <v>14</v>
      </c>
    </row>
    <row r="4" spans="1:1" x14ac:dyDescent="0.3">
      <c r="A4" s="3" t="s">
        <v>15</v>
      </c>
    </row>
    <row r="5" spans="1:1" x14ac:dyDescent="0.3">
      <c r="A5" s="3" t="s">
        <v>16</v>
      </c>
    </row>
    <row r="6" spans="1:1" x14ac:dyDescent="0.3">
      <c r="A6" s="3" t="s">
        <v>17</v>
      </c>
    </row>
    <row r="7" spans="1:1" x14ac:dyDescent="0.3">
      <c r="A7" s="3" t="s">
        <v>18</v>
      </c>
    </row>
    <row r="8" spans="1:1" x14ac:dyDescent="0.3">
      <c r="A8" s="3" t="s">
        <v>19</v>
      </c>
    </row>
    <row r="9" spans="1:1" x14ac:dyDescent="0.3">
      <c r="A9" s="3" t="s">
        <v>20</v>
      </c>
    </row>
    <row r="10" spans="1:1" x14ac:dyDescent="0.3">
      <c r="A10" s="3" t="s">
        <v>21</v>
      </c>
    </row>
    <row r="11" spans="1:1" x14ac:dyDescent="0.3">
      <c r="A11" s="3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DF35-EF76-474A-B244-133FC13177E3}">
  <dimension ref="B2:I10"/>
  <sheetViews>
    <sheetView showGridLines="0" zoomScale="120" zoomScaleNormal="120" workbookViewId="0"/>
  </sheetViews>
  <sheetFormatPr defaultRowHeight="14.4" x14ac:dyDescent="0.3"/>
  <cols>
    <col min="9" max="9" width="8.88671875" hidden="1" customWidth="1"/>
  </cols>
  <sheetData>
    <row r="2" spans="2:9" x14ac:dyDescent="0.3">
      <c r="I2">
        <v>4</v>
      </c>
    </row>
    <row r="10" spans="2:9" x14ac:dyDescent="0.3">
      <c r="B10" s="21" t="str">
        <f>IF(I2=1,"Resposta Correta. João é brabo!","Errado. Tente novamente!")</f>
        <v>Errado. Tente novamente!</v>
      </c>
      <c r="C10" s="21"/>
      <c r="D10" s="21"/>
      <c r="E10" s="21"/>
      <c r="F10" s="21"/>
      <c r="G10" s="21"/>
    </row>
  </sheetData>
  <conditionalFormatting sqref="B10:G10">
    <cfRule type="expression" dxfId="1" priority="1">
      <formula>$I$2&lt;&gt;1</formula>
    </cfRule>
    <cfRule type="expression" dxfId="0" priority="2">
      <formula>$I$2=1</formula>
    </cfRule>
  </conditionalFormatting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5" r:id="rId3" name="Group Box 3">
              <controlPr defaultSize="0" autoFill="0" autoPict="0" altText="">
                <anchor moveWithCells="1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7</xdr:col>
                    <xdr:colOff>0</xdr:colOff>
                    <xdr:row>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4" name="Option Button 4">
              <controlPr defaultSize="0" autoFill="0" autoLine="0" autoPict="0">
                <anchor moveWithCells="1">
                  <from>
                    <xdr:col>1</xdr:col>
                    <xdr:colOff>91440</xdr:colOff>
                    <xdr:row>2</xdr:row>
                    <xdr:rowOff>106680</xdr:rowOff>
                  </from>
                  <to>
                    <xdr:col>3</xdr:col>
                    <xdr:colOff>388620</xdr:colOff>
                    <xdr:row>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5" name="Option Button 5">
              <controlPr defaultSize="0" autoFill="0" autoLine="0" autoPict="0">
                <anchor moveWithCells="1">
                  <from>
                    <xdr:col>1</xdr:col>
                    <xdr:colOff>91440</xdr:colOff>
                    <xdr:row>3</xdr:row>
                    <xdr:rowOff>114300</xdr:rowOff>
                  </from>
                  <to>
                    <xdr:col>3</xdr:col>
                    <xdr:colOff>388620</xdr:colOff>
                    <xdr:row>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6" name="Option Button 6">
              <controlPr defaultSize="0" autoFill="0" autoLine="0" autoPict="0">
                <anchor moveWithCells="1">
                  <from>
                    <xdr:col>1</xdr:col>
                    <xdr:colOff>91440</xdr:colOff>
                    <xdr:row>4</xdr:row>
                    <xdr:rowOff>129540</xdr:rowOff>
                  </from>
                  <to>
                    <xdr:col>3</xdr:col>
                    <xdr:colOff>388620</xdr:colOff>
                    <xdr:row>5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7" name="Option Button 7">
              <controlPr defaultSize="0" autoFill="0" autoLine="0" autoPict="0">
                <anchor moveWithCells="1">
                  <from>
                    <xdr:col>1</xdr:col>
                    <xdr:colOff>91440</xdr:colOff>
                    <xdr:row>5</xdr:row>
                    <xdr:rowOff>137160</xdr:rowOff>
                  </from>
                  <to>
                    <xdr:col>3</xdr:col>
                    <xdr:colOff>388620</xdr:colOff>
                    <xdr:row>6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8" name="Option Button 8">
              <controlPr defaultSize="0" autoFill="0" autoLine="0" autoPict="0">
                <anchor moveWithCells="1">
                  <from>
                    <xdr:col>1</xdr:col>
                    <xdr:colOff>91440</xdr:colOff>
                    <xdr:row>6</xdr:row>
                    <xdr:rowOff>144780</xdr:rowOff>
                  </from>
                  <to>
                    <xdr:col>3</xdr:col>
                    <xdr:colOff>388620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9" name="Label 9">
              <controlPr defaultSize="0" autoFill="0" autoLine="0" autoPict="0">
                <anchor moveWithCells="1" sizeWithCells="1">
                  <from>
                    <xdr:col>1</xdr:col>
                    <xdr:colOff>114300</xdr:colOff>
                    <xdr:row>1</xdr:row>
                    <xdr:rowOff>83820</xdr:rowOff>
                  </from>
                  <to>
                    <xdr:col>4</xdr:col>
                    <xdr:colOff>350520</xdr:colOff>
                    <xdr:row>2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C57E-27DB-40EE-8F46-9B1A716A90B2}">
  <sheetPr>
    <tabColor theme="7"/>
  </sheetPr>
  <dimension ref="A1"/>
  <sheetViews>
    <sheetView showGridLines="0" zoomScale="120" zoomScaleNormal="120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Caixa de Combinação</vt:lpstr>
      <vt:lpstr>Caixa de Combinação (Prática)</vt:lpstr>
      <vt:lpstr>Caixa de Listagem</vt:lpstr>
      <vt:lpstr>Caixa de Listagem (Prática)</vt:lpstr>
      <vt:lpstr>Botão de Rotação</vt:lpstr>
      <vt:lpstr>Botão de Rotação (Prática)</vt:lpstr>
      <vt:lpstr>Barra de Rolagem</vt:lpstr>
      <vt:lpstr>Barra de Rolagem (Prática)</vt:lpstr>
      <vt:lpstr>Caixa de Seleção</vt:lpstr>
      <vt:lpstr>Caixa de Seleção (Prática)</vt:lpstr>
      <vt:lpstr>Botão de Opção</vt:lpstr>
      <vt:lpstr>Botão de Opção (Prática)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Paulo Ferreira Martins</cp:lastModifiedBy>
  <dcterms:created xsi:type="dcterms:W3CDTF">2021-08-13T17:45:08Z</dcterms:created>
  <dcterms:modified xsi:type="dcterms:W3CDTF">2021-08-16T21:53:08Z</dcterms:modified>
</cp:coreProperties>
</file>