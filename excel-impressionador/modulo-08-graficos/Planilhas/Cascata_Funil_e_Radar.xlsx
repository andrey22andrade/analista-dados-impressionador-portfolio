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EAEB66A7-2F2C-40A8-882C-89C0363EE76F}" xr6:coauthVersionLast="47" xr6:coauthVersionMax="47" xr10:uidLastSave="{00000000-0000-0000-0000-000000000000}"/>
  <bookViews>
    <workbookView xWindow="-108" yWindow="-108" windowWidth="23256" windowHeight="13176" xr2:uid="{6B28D8E3-D17A-406B-8AA4-22DB3E68F0E7}"/>
  </bookViews>
  <sheets>
    <sheet name="Cascata" sheetId="1" r:id="rId1"/>
    <sheet name="Funil" sheetId="2" r:id="rId2"/>
    <sheet name="Rad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3" l="1" a="1"/>
  <c r="P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<sst xmlns="http://schemas.openxmlformats.org/spreadsheetml/2006/main" count="38" uniqueCount="31">
  <si>
    <t>Mês</t>
  </si>
  <si>
    <t>1º TRI 21</t>
  </si>
  <si>
    <t>2º TRI 21</t>
  </si>
  <si>
    <t>3º TRI 21</t>
  </si>
  <si>
    <t>4º TRI 21</t>
  </si>
  <si>
    <t>Vendas</t>
  </si>
  <si>
    <t>Após 1º aviso</t>
  </si>
  <si>
    <t>Após 2º aviso</t>
  </si>
  <si>
    <t>Após 3º aviso</t>
  </si>
  <si>
    <t>Após 4º aviso</t>
  </si>
  <si>
    <t>Clientes que não responderam</t>
  </si>
  <si>
    <t>Crescimento de valores</t>
  </si>
  <si>
    <t>Afunilamento de valores</t>
  </si>
  <si>
    <t>Categoria</t>
  </si>
  <si>
    <t>Hortifruti</t>
  </si>
  <si>
    <t>Padaria</t>
  </si>
  <si>
    <t>Limpeza</t>
  </si>
  <si>
    <t>Açougue</t>
  </si>
  <si>
    <t>Cereais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</si>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</sst>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_-* #,##0_-;\-* #,##0_-;_-* &quot;-&quot;??_-;_-@_-"/>
    <numFmt numFmtId="166" formatCode="&quot;R$&quot;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0" xfId="0" applyNumberFormat="1"/>
    <xf numFmtId="164" fontId="0" fillId="0" borderId="1" xfId="2" applyNumberFormat="1" applyFont="1" applyBorder="1"/>
    <xf numFmtId="165" fontId="0" fillId="0" borderId="0" xfId="1" applyNumberFormat="1" applyFont="1"/>
    <xf numFmtId="165" fontId="0" fillId="0" borderId="1" xfId="1" applyNumberFormat="1" applyFont="1" applyBorder="1"/>
    <xf numFmtId="0" fontId="3" fillId="2" borderId="1" xfId="0" applyFont="1" applyFill="1" applyBorder="1"/>
    <xf numFmtId="166" fontId="0" fillId="0" borderId="1" xfId="0" applyNumberForma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8333-5592-4E6D-9066-BEF10FFC44D8}">
  <dimension ref="A1:G4"/>
  <sheetViews>
    <sheetView showGridLines="0" tabSelected="1" workbookViewId="0">
      <selection activeCell="C1" sqref="C1"/>
    </sheetView>
  </sheetViews>
  <sheetFormatPr defaultRowHeight="14.4" x14ac:dyDescent="0.3"/>
  <cols>
    <col min="1" max="1" width="14.5546875" customWidth="1"/>
    <col min="2" max="5" width="12" bestFit="1" customWidth="1"/>
    <col min="6" max="6" width="10.44140625" bestFit="1" customWidth="1"/>
  </cols>
  <sheetData>
    <row r="1" spans="1:7" x14ac:dyDescent="0.3">
      <c r="A1" s="1" t="s">
        <v>11</v>
      </c>
      <c r="B1" s="2"/>
    </row>
    <row r="3" spans="1:7" x14ac:dyDescent="0.3">
      <c r="A3" s="3" t="s">
        <v>0</v>
      </c>
      <c r="B3" s="4">
        <v>2020</v>
      </c>
      <c r="C3" s="5" t="s">
        <v>1</v>
      </c>
      <c r="D3" s="5" t="s">
        <v>2</v>
      </c>
      <c r="E3" s="5" t="s">
        <v>3</v>
      </c>
      <c r="F3" s="5" t="s">
        <v>4</v>
      </c>
      <c r="G3" s="6"/>
    </row>
    <row r="4" spans="1:7" x14ac:dyDescent="0.3">
      <c r="A4" s="3" t="s">
        <v>5</v>
      </c>
      <c r="B4" s="7">
        <v>30000</v>
      </c>
      <c r="C4" s="7">
        <v>16960</v>
      </c>
      <c r="D4" s="7">
        <v>21486</v>
      </c>
      <c r="E4" s="7">
        <v>15368</v>
      </c>
      <c r="F4" s="7">
        <v>17612</v>
      </c>
      <c r="G4" s="8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E515-36BF-442A-A6B5-ADC78954C5EF}">
  <dimension ref="A1:E4"/>
  <sheetViews>
    <sheetView showGridLines="0" workbookViewId="0">
      <selection activeCell="A26" sqref="A26"/>
    </sheetView>
  </sheetViews>
  <sheetFormatPr defaultRowHeight="14.4" x14ac:dyDescent="0.3"/>
  <cols>
    <col min="1" max="1" width="26.109375" customWidth="1"/>
    <col min="2" max="5" width="12" bestFit="1" customWidth="1"/>
  </cols>
  <sheetData>
    <row r="1" spans="1:5" x14ac:dyDescent="0.3">
      <c r="A1" s="1" t="s">
        <v>12</v>
      </c>
      <c r="B1" s="2"/>
    </row>
    <row r="3" spans="1:5" x14ac:dyDescent="0.3">
      <c r="A3" s="3"/>
      <c r="B3" s="4" t="s">
        <v>6</v>
      </c>
      <c r="C3" s="4" t="s">
        <v>7</v>
      </c>
      <c r="D3" s="4" t="s">
        <v>8</v>
      </c>
      <c r="E3" s="4" t="s">
        <v>9</v>
      </c>
    </row>
    <row r="4" spans="1:5" x14ac:dyDescent="0.3">
      <c r="A4" s="3" t="s">
        <v>10</v>
      </c>
      <c r="B4" s="3">
        <v>100000</v>
      </c>
      <c r="C4" s="3">
        <v>77385</v>
      </c>
      <c r="D4" s="3">
        <v>52669</v>
      </c>
      <c r="E4" s="3">
        <v>36856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1D3B-7249-48A1-993E-A427DD9CAEAF}">
  <dimension ref="A1:P6"/>
  <sheetViews>
    <sheetView showGridLines="0" topLeftCell="O1" workbookViewId="0">
      <selection activeCell="Q1" sqref="Q1"/>
    </sheetView>
  </sheetViews>
  <sheetFormatPr defaultRowHeight="14.4" x14ac:dyDescent="0.3"/>
  <cols>
    <col min="1" max="1" width="0" hidden="1" customWidth="1"/>
    <col min="2" max="13" width="10.5546875" hidden="1" customWidth="1"/>
    <col min="14" max="14" width="0" hidden="1" customWidth="1"/>
    <col min="16" max="16" width="12.33203125" customWidth="1"/>
  </cols>
  <sheetData>
    <row r="1" spans="1:16" x14ac:dyDescent="0.3">
      <c r="A1" s="3" t="s">
        <v>13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O1" s="10" t="s">
        <v>13</v>
      </c>
      <c r="P1" s="10" t="s">
        <v>25</v>
      </c>
    </row>
    <row r="2" spans="1:16" x14ac:dyDescent="0.3">
      <c r="A2" s="3" t="s">
        <v>14</v>
      </c>
      <c r="B2" s="9">
        <v>1233</v>
      </c>
      <c r="C2" s="9">
        <v>3314</v>
      </c>
      <c r="D2" s="9">
        <v>9859</v>
      </c>
      <c r="E2" s="9">
        <v>8846</v>
      </c>
      <c r="F2" s="9">
        <v>4904</v>
      </c>
      <c r="G2" s="9">
        <v>9805</v>
      </c>
      <c r="H2" s="9">
        <v>8249</v>
      </c>
      <c r="I2" s="9">
        <v>8913</v>
      </c>
      <c r="J2" s="9">
        <v>1859</v>
      </c>
      <c r="K2" s="9">
        <v>2281</v>
      </c>
      <c r="L2" s="9">
        <v>6450</v>
      </c>
      <c r="M2" s="9">
        <v>5586</v>
      </c>
      <c r="O2" s="10" t="s">
        <v>14</v>
      </c>
      <c r="P2" s="11" cm="1">
        <f t="array" aca="1" ref="P2:P6" ca="1">OFFSET(B2:B6,,MATCH(P1,B1:M1,0)-1)</f>
        <v>8249</v>
      </c>
    </row>
    <row r="3" spans="1:16" x14ac:dyDescent="0.3">
      <c r="A3" s="3" t="s">
        <v>15</v>
      </c>
      <c r="B3" s="9">
        <v>8950</v>
      </c>
      <c r="C3" s="9">
        <v>5575</v>
      </c>
      <c r="D3" s="9">
        <v>6338</v>
      </c>
      <c r="E3" s="9">
        <v>2974</v>
      </c>
      <c r="F3" s="9">
        <v>8043</v>
      </c>
      <c r="G3" s="9">
        <v>3651</v>
      </c>
      <c r="H3" s="9">
        <v>3277</v>
      </c>
      <c r="I3" s="9">
        <v>7981</v>
      </c>
      <c r="J3" s="9">
        <v>9790</v>
      </c>
      <c r="K3" s="9">
        <v>2537</v>
      </c>
      <c r="L3" s="9">
        <v>8492</v>
      </c>
      <c r="M3" s="9">
        <v>9520</v>
      </c>
      <c r="O3" s="10" t="s">
        <v>15</v>
      </c>
      <c r="P3" s="11">
        <f ca="1"/>
        <v>3277</v>
      </c>
    </row>
    <row r="4" spans="1:16" x14ac:dyDescent="0.3">
      <c r="A4" s="3" t="s">
        <v>16</v>
      </c>
      <c r="B4" s="9">
        <v>9616</v>
      </c>
      <c r="C4" s="9">
        <v>3554</v>
      </c>
      <c r="D4" s="9">
        <v>2630</v>
      </c>
      <c r="E4" s="9">
        <v>9974</v>
      </c>
      <c r="F4" s="9">
        <v>6980</v>
      </c>
      <c r="G4" s="9">
        <v>7190</v>
      </c>
      <c r="H4" s="9">
        <v>5349</v>
      </c>
      <c r="I4" s="9">
        <v>3107</v>
      </c>
      <c r="J4" s="9">
        <v>6870</v>
      </c>
      <c r="K4" s="9">
        <v>3056</v>
      </c>
      <c r="L4" s="9">
        <v>1806</v>
      </c>
      <c r="M4" s="9">
        <v>5979</v>
      </c>
      <c r="O4" s="10" t="s">
        <v>16</v>
      </c>
      <c r="P4" s="11">
        <f ca="1"/>
        <v>5349</v>
      </c>
    </row>
    <row r="5" spans="1:16" x14ac:dyDescent="0.3">
      <c r="A5" s="3" t="s">
        <v>17</v>
      </c>
      <c r="B5" s="9">
        <v>4570</v>
      </c>
      <c r="C5" s="9">
        <v>6021</v>
      </c>
      <c r="D5" s="9">
        <v>2693</v>
      </c>
      <c r="E5" s="9">
        <v>5250</v>
      </c>
      <c r="F5" s="9">
        <v>5215</v>
      </c>
      <c r="G5" s="9">
        <v>2960</v>
      </c>
      <c r="H5" s="9">
        <v>6600</v>
      </c>
      <c r="I5" s="9">
        <v>2186</v>
      </c>
      <c r="J5" s="9">
        <v>6099</v>
      </c>
      <c r="K5" s="9">
        <v>3189</v>
      </c>
      <c r="L5" s="9">
        <v>5025</v>
      </c>
      <c r="M5" s="9">
        <v>4310</v>
      </c>
      <c r="O5" s="10" t="s">
        <v>17</v>
      </c>
      <c r="P5" s="11">
        <f ca="1"/>
        <v>6600</v>
      </c>
    </row>
    <row r="6" spans="1:16" x14ac:dyDescent="0.3">
      <c r="A6" s="3" t="s">
        <v>18</v>
      </c>
      <c r="B6" s="9">
        <v>9636</v>
      </c>
      <c r="C6" s="9">
        <v>9993</v>
      </c>
      <c r="D6" s="9">
        <v>7475</v>
      </c>
      <c r="E6" s="9">
        <v>6979</v>
      </c>
      <c r="F6" s="9">
        <v>7529</v>
      </c>
      <c r="G6" s="9">
        <v>5782</v>
      </c>
      <c r="H6" s="9">
        <v>7676</v>
      </c>
      <c r="I6" s="9">
        <v>1996</v>
      </c>
      <c r="J6" s="9">
        <v>4529</v>
      </c>
      <c r="K6" s="9">
        <v>6856</v>
      </c>
      <c r="L6" s="9">
        <v>2472</v>
      </c>
      <c r="M6" s="9">
        <v>4684</v>
      </c>
      <c r="O6" s="10" t="s">
        <v>18</v>
      </c>
      <c r="P6" s="11">
        <f ca="1"/>
        <v>7676</v>
      </c>
    </row>
  </sheetData>
  <dataValidations count="1">
    <dataValidation type="list" allowBlank="1" showInputMessage="1" showErrorMessage="1" sqref="P1" xr:uid="{8E307168-11BE-4C94-80A8-4C1C61BF320D}">
      <formula1>$B$1:$M$1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Cascata</vt:lpstr>
      <vt:lpstr>Funil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Alfredo Araujo</cp:lastModifiedBy>
  <dcterms:created xsi:type="dcterms:W3CDTF">2022-09-08T21:52:45Z</dcterms:created>
  <dcterms:modified xsi:type="dcterms:W3CDTF">2022-09-09T13:31:45Z</dcterms:modified>
</cp:coreProperties>
</file>