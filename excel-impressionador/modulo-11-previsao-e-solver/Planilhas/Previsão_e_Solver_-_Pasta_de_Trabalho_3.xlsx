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oaof\Desktop\Excel 2021\Módulo 14 - Previsão e Solver\"/>
    </mc:Choice>
  </mc:AlternateContent>
  <xr:revisionPtr revIDLastSave="0" documentId="13_ncr:1_{48998619-14E4-4092-9E7C-8AA9E168DABA}" xr6:coauthVersionLast="47" xr6:coauthVersionMax="47" xr10:uidLastSave="{00000000-0000-0000-0000-000000000000}"/>
  <bookViews>
    <workbookView xWindow="-108" yWindow="-108" windowWidth="23256" windowHeight="13176" tabRatio="1000" xr2:uid="{25A05545-28B5-48BE-AB92-F3471190387D}"/>
  </bookViews>
  <sheets>
    <sheet name="Cenários" sheetId="11" r:id="rId1"/>
    <sheet name="Meta" sheetId="12" r:id="rId2"/>
    <sheet name="Dados (Caso 1)" sheetId="13" r:id="rId3"/>
    <sheet name="Dados (Caso 2)" sheetId="14" r:id="rId4"/>
  </sheets>
  <definedNames>
    <definedName name="_xlnm._FilterDatabase" localSheetId="0" hidden="1">Cenários!#REF!</definedName>
    <definedName name="_xlnm._FilterDatabase" localSheetId="2" hidden="1">'Dados (Caso 1)'!#REF!</definedName>
    <definedName name="_xlnm._FilterDatabase" localSheetId="3" hidden="1">'Dados (Caso 2)'!#REF!</definedName>
    <definedName name="_xlnm._FilterDatabase" localSheetId="1" hidden="1">Meta!#REF!</definedName>
    <definedName name="solver_adj" localSheetId="0" hidden="1">Cenários!#REF!</definedName>
    <definedName name="solver_adj" localSheetId="2" hidden="1">'Dados (Caso 1)'!#REF!</definedName>
    <definedName name="solver_adj" localSheetId="3" hidden="1">'Dados (Caso 2)'!#REF!</definedName>
    <definedName name="solver_adj" localSheetId="1" hidden="1">Meta!#REF!</definedName>
    <definedName name="solver_cvg" localSheetId="0" hidden="1">0.0001</definedName>
    <definedName name="solver_cvg" localSheetId="2" hidden="1">0.0001</definedName>
    <definedName name="solver_cvg" localSheetId="3" hidden="1">0.0001</definedName>
    <definedName name="solver_cvg" localSheetId="1" hidden="1">0.0001</definedName>
    <definedName name="solver_drv" localSheetId="0" hidden="1">2</definedName>
    <definedName name="solver_drv" localSheetId="2" hidden="1">2</definedName>
    <definedName name="solver_drv" localSheetId="3" hidden="1">2</definedName>
    <definedName name="solver_drv" localSheetId="1" hidden="1">2</definedName>
    <definedName name="solver_eng" localSheetId="0" hidden="1">1</definedName>
    <definedName name="solver_eng" localSheetId="2" hidden="1">1</definedName>
    <definedName name="solver_eng" localSheetId="3" hidden="1">1</definedName>
    <definedName name="solver_eng" localSheetId="1" hidden="1">1</definedName>
    <definedName name="solver_est" localSheetId="0" hidden="1">1</definedName>
    <definedName name="solver_est" localSheetId="2" hidden="1">1</definedName>
    <definedName name="solver_est" localSheetId="3" hidden="1">1</definedName>
    <definedName name="solver_est" localSheetId="1" hidden="1">1</definedName>
    <definedName name="solver_itr" localSheetId="0" hidden="1">2147483647</definedName>
    <definedName name="solver_itr" localSheetId="2" hidden="1">2147483647</definedName>
    <definedName name="solver_itr" localSheetId="3" hidden="1">2147483647</definedName>
    <definedName name="solver_itr" localSheetId="1" hidden="1">2147483647</definedName>
    <definedName name="solver_lhs1" localSheetId="0" hidden="1">Cenários!#REF!</definedName>
    <definedName name="solver_lhs1" localSheetId="2" hidden="1">'Dados (Caso 1)'!#REF!</definedName>
    <definedName name="solver_lhs1" localSheetId="3" hidden="1">'Dados (Caso 2)'!#REF!</definedName>
    <definedName name="solver_lhs1" localSheetId="1" hidden="1">Meta!#REF!</definedName>
    <definedName name="solver_lhs2" localSheetId="0" hidden="1">Cenários!#REF!</definedName>
    <definedName name="solver_lhs2" localSheetId="2" hidden="1">'Dados (Caso 1)'!#REF!</definedName>
    <definedName name="solver_lhs2" localSheetId="3" hidden="1">'Dados (Caso 2)'!#REF!</definedName>
    <definedName name="solver_lhs2" localSheetId="1" hidden="1">Meta!#REF!</definedName>
    <definedName name="solver_lhs3" localSheetId="0" hidden="1">Cenários!#REF!</definedName>
    <definedName name="solver_lhs3" localSheetId="2" hidden="1">'Dados (Caso 1)'!#REF!</definedName>
    <definedName name="solver_lhs3" localSheetId="3" hidden="1">'Dados (Caso 2)'!#REF!</definedName>
    <definedName name="solver_lhs3" localSheetId="1" hidden="1">Meta!#REF!</definedName>
    <definedName name="solver_lhs4" localSheetId="0" hidden="1">Cenários!#REF!</definedName>
    <definedName name="solver_lhs4" localSheetId="2" hidden="1">'Dados (Caso 1)'!#REF!</definedName>
    <definedName name="solver_lhs4" localSheetId="3" hidden="1">'Dados (Caso 2)'!#REF!</definedName>
    <definedName name="solver_lhs4" localSheetId="1" hidden="1">Meta!#REF!</definedName>
    <definedName name="solver_mip" localSheetId="0" hidden="1">2147483647</definedName>
    <definedName name="solver_mip" localSheetId="2" hidden="1">2147483647</definedName>
    <definedName name="solver_mip" localSheetId="3" hidden="1">2147483647</definedName>
    <definedName name="solver_mip" localSheetId="1" hidden="1">2147483647</definedName>
    <definedName name="solver_mni" localSheetId="0" hidden="1">30</definedName>
    <definedName name="solver_mni" localSheetId="2" hidden="1">30</definedName>
    <definedName name="solver_mni" localSheetId="3" hidden="1">30</definedName>
    <definedName name="solver_mni" localSheetId="1" hidden="1">30</definedName>
    <definedName name="solver_mrt" localSheetId="0" hidden="1">0.075</definedName>
    <definedName name="solver_mrt" localSheetId="2" hidden="1">0.075</definedName>
    <definedName name="solver_mrt" localSheetId="3" hidden="1">0.075</definedName>
    <definedName name="solver_mrt" localSheetId="1" hidden="1">0.075</definedName>
    <definedName name="solver_msl" localSheetId="0" hidden="1">2</definedName>
    <definedName name="solver_msl" localSheetId="2" hidden="1">2</definedName>
    <definedName name="solver_msl" localSheetId="3" hidden="1">2</definedName>
    <definedName name="solver_msl" localSheetId="1" hidden="1">2</definedName>
    <definedName name="solver_neg" localSheetId="0" hidden="1">1</definedName>
    <definedName name="solver_neg" localSheetId="2" hidden="1">1</definedName>
    <definedName name="solver_neg" localSheetId="3" hidden="1">1</definedName>
    <definedName name="solver_neg" localSheetId="1" hidden="1">1</definedName>
    <definedName name="solver_nod" localSheetId="0" hidden="1">2147483647</definedName>
    <definedName name="solver_nod" localSheetId="2" hidden="1">2147483647</definedName>
    <definedName name="solver_nod" localSheetId="3" hidden="1">2147483647</definedName>
    <definedName name="solver_nod" localSheetId="1" hidden="1">2147483647</definedName>
    <definedName name="solver_num" localSheetId="0" hidden="1">4</definedName>
    <definedName name="solver_num" localSheetId="2" hidden="1">4</definedName>
    <definedName name="solver_num" localSheetId="3" hidden="1">4</definedName>
    <definedName name="solver_num" localSheetId="1" hidden="1">4</definedName>
    <definedName name="solver_nwt" localSheetId="0" hidden="1">1</definedName>
    <definedName name="solver_nwt" localSheetId="2" hidden="1">1</definedName>
    <definedName name="solver_nwt" localSheetId="3" hidden="1">1</definedName>
    <definedName name="solver_nwt" localSheetId="1" hidden="1">1</definedName>
    <definedName name="solver_opt" localSheetId="0" hidden="1">Cenários!#REF!</definedName>
    <definedName name="solver_opt" localSheetId="2" hidden="1">'Dados (Caso 1)'!#REF!</definedName>
    <definedName name="solver_opt" localSheetId="3" hidden="1">'Dados (Caso 2)'!#REF!</definedName>
    <definedName name="solver_opt" localSheetId="1" hidden="1">Meta!#REF!</definedName>
    <definedName name="solver_pre" localSheetId="0" hidden="1">0.000001</definedName>
    <definedName name="solver_pre" localSheetId="2" hidden="1">0.000001</definedName>
    <definedName name="solver_pre" localSheetId="3" hidden="1">0.000001</definedName>
    <definedName name="solver_pre" localSheetId="1" hidden="1">0.000001</definedName>
    <definedName name="solver_rbv" localSheetId="0" hidden="1">2</definedName>
    <definedName name="solver_rbv" localSheetId="2" hidden="1">2</definedName>
    <definedName name="solver_rbv" localSheetId="3" hidden="1">2</definedName>
    <definedName name="solver_rbv" localSheetId="1" hidden="1">2</definedName>
    <definedName name="solver_rel1" localSheetId="0" hidden="1">1</definedName>
    <definedName name="solver_rel1" localSheetId="2" hidden="1">1</definedName>
    <definedName name="solver_rel1" localSheetId="3" hidden="1">1</definedName>
    <definedName name="solver_rel1" localSheetId="1" hidden="1">1</definedName>
    <definedName name="solver_rel2" localSheetId="0" hidden="1">1</definedName>
    <definedName name="solver_rel2" localSheetId="2" hidden="1">1</definedName>
    <definedName name="solver_rel2" localSheetId="3" hidden="1">1</definedName>
    <definedName name="solver_rel2" localSheetId="1" hidden="1">1</definedName>
    <definedName name="solver_rel3" localSheetId="0" hidden="1">4</definedName>
    <definedName name="solver_rel3" localSheetId="2" hidden="1">4</definedName>
    <definedName name="solver_rel3" localSheetId="3" hidden="1">4</definedName>
    <definedName name="solver_rel3" localSheetId="1" hidden="1">4</definedName>
    <definedName name="solver_rel4" localSheetId="0" hidden="1">3</definedName>
    <definedName name="solver_rel4" localSheetId="2" hidden="1">3</definedName>
    <definedName name="solver_rel4" localSheetId="3" hidden="1">3</definedName>
    <definedName name="solver_rel4" localSheetId="1" hidden="1">3</definedName>
    <definedName name="solver_rhs1" localSheetId="0" hidden="1">Cenários!#REF!</definedName>
    <definedName name="solver_rhs1" localSheetId="2" hidden="1">'Dados (Caso 1)'!#REF!</definedName>
    <definedName name="solver_rhs1" localSheetId="3" hidden="1">'Dados (Caso 2)'!#REF!</definedName>
    <definedName name="solver_rhs1" localSheetId="1" hidden="1">Meta!#REF!</definedName>
    <definedName name="solver_rhs2" localSheetId="0" hidden="1">Cenários!#REF!</definedName>
    <definedName name="solver_rhs2" localSheetId="2" hidden="1">'Dados (Caso 1)'!#REF!</definedName>
    <definedName name="solver_rhs2" localSheetId="3" hidden="1">'Dados (Caso 2)'!#REF!</definedName>
    <definedName name="solver_rhs2" localSheetId="1" hidden="1">Meta!#REF!</definedName>
    <definedName name="solver_rhs3" localSheetId="0" hidden="1">"número inteiro"</definedName>
    <definedName name="solver_rhs3" localSheetId="2" hidden="1">"número inteiro"</definedName>
    <definedName name="solver_rhs3" localSheetId="3" hidden="1">"número inteiro"</definedName>
    <definedName name="solver_rhs3" localSheetId="1" hidden="1">"número inteiro"</definedName>
    <definedName name="solver_rhs4" localSheetId="0" hidden="1">1</definedName>
    <definedName name="solver_rhs4" localSheetId="2" hidden="1">1</definedName>
    <definedName name="solver_rhs4" localSheetId="3" hidden="1">1</definedName>
    <definedName name="solver_rhs4" localSheetId="1" hidden="1">1</definedName>
    <definedName name="solver_rlx" localSheetId="0" hidden="1">2</definedName>
    <definedName name="solver_rlx" localSheetId="2" hidden="1">2</definedName>
    <definedName name="solver_rlx" localSheetId="3" hidden="1">2</definedName>
    <definedName name="solver_rlx" localSheetId="1" hidden="1">2</definedName>
    <definedName name="solver_rsd" localSheetId="0" hidden="1">0</definedName>
    <definedName name="solver_rsd" localSheetId="2" hidden="1">0</definedName>
    <definedName name="solver_rsd" localSheetId="3" hidden="1">0</definedName>
    <definedName name="solver_rsd" localSheetId="1" hidden="1">0</definedName>
    <definedName name="solver_scl" localSheetId="0" hidden="1">2</definedName>
    <definedName name="solver_scl" localSheetId="2" hidden="1">2</definedName>
    <definedName name="solver_scl" localSheetId="3" hidden="1">2</definedName>
    <definedName name="solver_scl" localSheetId="1" hidden="1">2</definedName>
    <definedName name="solver_sho" localSheetId="0" hidden="1">2</definedName>
    <definedName name="solver_sho" localSheetId="2" hidden="1">2</definedName>
    <definedName name="solver_sho" localSheetId="3" hidden="1">2</definedName>
    <definedName name="solver_sho" localSheetId="1" hidden="1">2</definedName>
    <definedName name="solver_ssz" localSheetId="0" hidden="1">100</definedName>
    <definedName name="solver_ssz" localSheetId="2" hidden="1">100</definedName>
    <definedName name="solver_ssz" localSheetId="3" hidden="1">100</definedName>
    <definedName name="solver_ssz" localSheetId="1" hidden="1">100</definedName>
    <definedName name="solver_tim" localSheetId="0" hidden="1">2147483647</definedName>
    <definedName name="solver_tim" localSheetId="2" hidden="1">2147483647</definedName>
    <definedName name="solver_tim" localSheetId="3" hidden="1">2147483647</definedName>
    <definedName name="solver_tim" localSheetId="1" hidden="1">2147483647</definedName>
    <definedName name="solver_tol" localSheetId="0" hidden="1">0.01</definedName>
    <definedName name="solver_tol" localSheetId="2" hidden="1">0.01</definedName>
    <definedName name="solver_tol" localSheetId="3" hidden="1">0.01</definedName>
    <definedName name="solver_tol" localSheetId="1" hidden="1">0.01</definedName>
    <definedName name="solver_typ" localSheetId="0" hidden="1">1</definedName>
    <definedName name="solver_typ" localSheetId="2" hidden="1">1</definedName>
    <definedName name="solver_typ" localSheetId="3" hidden="1">1</definedName>
    <definedName name="solver_typ" localSheetId="1" hidden="1">1</definedName>
    <definedName name="solver_val" localSheetId="0" hidden="1">0</definedName>
    <definedName name="solver_val" localSheetId="2" hidden="1">0</definedName>
    <definedName name="solver_val" localSheetId="3" hidden="1">0</definedName>
    <definedName name="solver_val" localSheetId="1" hidden="1">0</definedName>
    <definedName name="solver_ver" localSheetId="0" hidden="1">3</definedName>
    <definedName name="solver_ver" localSheetId="2" hidden="1">3</definedName>
    <definedName name="solver_ver" localSheetId="3" hidden="1">3</definedName>
    <definedName name="solver_ver" localSheetId="1" hidden="1">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C13" i="12" l="1"/>
  <c r="C3" i="12"/>
  <c r="C4" i="12"/>
  <c r="C5" i="12"/>
  <c r="C6" i="12"/>
  <c r="C7" i="12"/>
  <c r="C8" i="12"/>
  <c r="C9" i="12"/>
  <c r="C10" i="12"/>
  <c r="C11" i="12"/>
  <c r="C12" i="12"/>
  <c r="C2" i="12"/>
  <c r="B14" i="14"/>
  <c r="D13" i="14"/>
  <c r="C13" i="14"/>
  <c r="D12" i="14"/>
  <c r="C12" i="14"/>
  <c r="D11" i="14"/>
  <c r="C11" i="14"/>
  <c r="D10" i="14"/>
  <c r="C10" i="14"/>
  <c r="D9" i="14"/>
  <c r="C9" i="14"/>
  <c r="D8" i="14"/>
  <c r="C8" i="14"/>
  <c r="D7" i="14"/>
  <c r="C7" i="14"/>
  <c r="D6" i="14"/>
  <c r="C6" i="14"/>
  <c r="D5" i="14"/>
  <c r="C5" i="14"/>
  <c r="D4" i="14"/>
  <c r="C4" i="14"/>
  <c r="D3" i="14"/>
  <c r="C3" i="14"/>
  <c r="D2" i="14"/>
  <c r="C2" i="14"/>
  <c r="B14" i="13"/>
  <c r="D13" i="13"/>
  <c r="C13" i="13"/>
  <c r="D12" i="13"/>
  <c r="C12" i="13"/>
  <c r="D11" i="13"/>
  <c r="C11" i="13"/>
  <c r="D10" i="13"/>
  <c r="C10" i="13"/>
  <c r="D9" i="13"/>
  <c r="C9" i="13"/>
  <c r="D8" i="13"/>
  <c r="C8" i="13"/>
  <c r="D7" i="13"/>
  <c r="C7" i="13"/>
  <c r="D6" i="13"/>
  <c r="C6" i="13"/>
  <c r="D5" i="13"/>
  <c r="C5" i="13"/>
  <c r="D4" i="13"/>
  <c r="C4" i="13"/>
  <c r="D3" i="13"/>
  <c r="C3" i="13"/>
  <c r="D2" i="13"/>
  <c r="C2" i="13"/>
  <c r="D3" i="12"/>
  <c r="D4" i="12"/>
  <c r="D5" i="12"/>
  <c r="D6" i="12"/>
  <c r="D7" i="12"/>
  <c r="D8" i="12"/>
  <c r="D9" i="12"/>
  <c r="D10" i="12"/>
  <c r="D11" i="12"/>
  <c r="D12" i="12"/>
  <c r="D13" i="12"/>
  <c r="D2" i="12"/>
  <c r="B14" i="12"/>
  <c r="B14" i="11"/>
  <c r="C11" i="11"/>
  <c r="D13" i="11"/>
  <c r="C13" i="11"/>
  <c r="D12" i="11"/>
  <c r="C12" i="11"/>
  <c r="D11" i="11"/>
  <c r="D10" i="11"/>
  <c r="C10" i="11"/>
  <c r="D9" i="11"/>
  <c r="C9" i="11"/>
  <c r="D8" i="11"/>
  <c r="C8" i="11"/>
  <c r="D7" i="11"/>
  <c r="C7" i="11"/>
  <c r="D6" i="11"/>
  <c r="C6" i="11"/>
  <c r="D5" i="11"/>
  <c r="C5" i="11"/>
  <c r="D4" i="11"/>
  <c r="C4" i="11"/>
  <c r="D3" i="11"/>
  <c r="C3" i="11"/>
  <c r="D2" i="11"/>
  <c r="C2" i="11"/>
  <c r="E5" i="14" l="1"/>
  <c r="E9" i="14"/>
  <c r="E4" i="14"/>
  <c r="E8" i="14"/>
  <c r="E12" i="14"/>
  <c r="E13" i="14"/>
  <c r="E6" i="14"/>
  <c r="E11" i="14"/>
  <c r="E7" i="14"/>
  <c r="E2" i="14"/>
  <c r="E10" i="14"/>
  <c r="E3" i="14"/>
  <c r="E4" i="13"/>
  <c r="C14" i="14"/>
  <c r="E9" i="13"/>
  <c r="E8" i="13"/>
  <c r="E10" i="13"/>
  <c r="E5" i="13"/>
  <c r="E6" i="13"/>
  <c r="E11" i="13"/>
  <c r="E13" i="13"/>
  <c r="E7" i="13"/>
  <c r="C14" i="13"/>
  <c r="E12" i="13"/>
  <c r="E2" i="13"/>
  <c r="E3" i="13"/>
  <c r="E2" i="12"/>
  <c r="E4" i="12"/>
  <c r="E3" i="12"/>
  <c r="E11" i="12"/>
  <c r="E12" i="12"/>
  <c r="E8" i="12"/>
  <c r="E5" i="12"/>
  <c r="E9" i="12"/>
  <c r="E13" i="12"/>
  <c r="E6" i="12"/>
  <c r="E10" i="12"/>
  <c r="E7" i="12"/>
  <c r="C14" i="12"/>
  <c r="C14" i="11"/>
  <c r="E4" i="11"/>
  <c r="E8" i="11"/>
  <c r="E12" i="11"/>
  <c r="E3" i="11"/>
  <c r="E5" i="11"/>
  <c r="E9" i="11"/>
  <c r="E2" i="11"/>
  <c r="E6" i="11"/>
  <c r="E10" i="11"/>
  <c r="E13" i="11"/>
  <c r="E11" i="11"/>
  <c r="E7" i="11"/>
  <c r="E14" i="14" l="1"/>
  <c r="H4" i="14"/>
  <c r="G9" i="14" s="1"/>
  <c r="E14" i="13"/>
  <c r="H4" i="13"/>
  <c r="E14" i="12"/>
  <c r="H4" i="12"/>
  <c r="H7" i="12" s="1"/>
  <c r="E14" i="11"/>
  <c r="H4" i="11"/>
  <c r="H7" i="11" s="1"/>
  <c r="H7" i="14" l="1"/>
  <c r="H7" i="13"/>
  <c r="H10" i="13"/>
</calcChain>
</file>

<file path=xl/sharedStrings.xml><?xml version="1.0" encoding="utf-8"?>
<sst xmlns="http://schemas.openxmlformats.org/spreadsheetml/2006/main" count="51" uniqueCount="18">
  <si>
    <t>Mês</t>
  </si>
  <si>
    <t>Cenário 1</t>
  </si>
  <si>
    <t>Cenário 2</t>
  </si>
  <si>
    <t>Cenário 3</t>
  </si>
  <si>
    <t>Cenário 4</t>
  </si>
  <si>
    <t>Preço</t>
  </si>
  <si>
    <t>Total Qtd</t>
  </si>
  <si>
    <t>Cenário 5</t>
  </si>
  <si>
    <t>Cenário</t>
  </si>
  <si>
    <t>-</t>
  </si>
  <si>
    <t>Lucro</t>
  </si>
  <si>
    <t>Receita Total</t>
  </si>
  <si>
    <t>Custo</t>
  </si>
  <si>
    <t>Qtd Total</t>
  </si>
  <si>
    <t>Qtd Mês</t>
  </si>
  <si>
    <t>% Qtd Mês</t>
  </si>
  <si>
    <t>Receita Mês</t>
  </si>
  <si>
    <t>Preço Unit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</si>
</sst>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&quot;R$&quot;\ #,##0"/>
    <numFmt numFmtId="165" formatCode="#,##0_ ;\-#,##0\ "/>
    <numFmt numFmtId="166" formatCode="&quot;R$&quot;\ #,##0.00"/>
  </numFmts>
  <fonts count="4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1" tint="0.249977111117893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</cellStyleXfs>
  <cellXfs count="36">
    <xf numFmtId="0" fontId="0" fillId="0" borderId="0" xfId="0"/>
    <xf numFmtId="0" fontId="0" fillId="0" borderId="0" xfId="0" applyFont="1"/>
    <xf numFmtId="0" fontId="0" fillId="0" borderId="0" xfId="0" applyFont="1" applyAlignment="1">
      <alignment horizontal="center"/>
    </xf>
    <xf numFmtId="0" fontId="0" fillId="0" borderId="0" xfId="0" applyFont="1" applyAlignment="1">
      <alignment horizontal="left"/>
    </xf>
    <xf numFmtId="0" fontId="1" fillId="2" borderId="0" xfId="0" applyFont="1" applyFill="1" applyBorder="1" applyAlignment="1">
      <alignment horizontal="left"/>
    </xf>
    <xf numFmtId="0" fontId="0" fillId="0" borderId="0" xfId="0" applyFont="1" applyBorder="1" applyAlignment="1">
      <alignment horizontal="left"/>
    </xf>
    <xf numFmtId="17" fontId="0" fillId="0" borderId="0" xfId="0" applyNumberFormat="1" applyFont="1" applyBorder="1" applyAlignment="1">
      <alignment horizontal="left"/>
    </xf>
    <xf numFmtId="9" fontId="2" fillId="0" borderId="0" xfId="2" applyFont="1" applyBorder="1" applyAlignment="1">
      <alignment horizontal="left"/>
    </xf>
    <xf numFmtId="165" fontId="2" fillId="0" borderId="0" xfId="1" applyNumberFormat="1" applyFont="1" applyBorder="1" applyAlignment="1">
      <alignment horizontal="left"/>
    </xf>
    <xf numFmtId="164" fontId="0" fillId="0" borderId="0" xfId="0" applyNumberFormat="1" applyFont="1" applyBorder="1" applyAlignment="1">
      <alignment horizontal="left"/>
    </xf>
    <xf numFmtId="164" fontId="1" fillId="2" borderId="0" xfId="0" applyNumberFormat="1" applyFont="1" applyFill="1" applyBorder="1" applyAlignment="1">
      <alignment horizontal="left"/>
    </xf>
    <xf numFmtId="0" fontId="0" fillId="3" borderId="1" xfId="0" applyFont="1" applyFill="1" applyBorder="1" applyAlignment="1">
      <alignment horizontal="left"/>
    </xf>
    <xf numFmtId="165" fontId="2" fillId="0" borderId="1" xfId="1" applyNumberFormat="1" applyFont="1" applyFill="1" applyBorder="1" applyAlignment="1">
      <alignment horizontal="left"/>
    </xf>
    <xf numFmtId="164" fontId="0" fillId="0" borderId="1" xfId="0" applyNumberFormat="1" applyFont="1" applyFill="1" applyBorder="1" applyAlignment="1">
      <alignment horizontal="left"/>
    </xf>
    <xf numFmtId="164" fontId="0" fillId="0" borderId="1" xfId="0" applyNumberFormat="1" applyFont="1" applyBorder="1" applyAlignment="1">
      <alignment horizontal="left"/>
    </xf>
    <xf numFmtId="0" fontId="1" fillId="2" borderId="1" xfId="0" applyFont="1" applyFill="1" applyBorder="1" applyAlignment="1">
      <alignment horizontal="left"/>
    </xf>
    <xf numFmtId="165" fontId="2" fillId="0" borderId="1" xfId="1" applyNumberFormat="1" applyFont="1" applyFill="1" applyBorder="1" applyAlignment="1">
      <alignment horizontal="center"/>
    </xf>
    <xf numFmtId="0" fontId="3" fillId="0" borderId="0" xfId="0" applyFont="1" applyBorder="1" applyAlignment="1">
      <alignment horizontal="left"/>
    </xf>
    <xf numFmtId="0" fontId="0" fillId="4" borderId="1" xfId="0" applyFont="1" applyFill="1" applyBorder="1" applyAlignment="1">
      <alignment horizontal="left"/>
    </xf>
    <xf numFmtId="9" fontId="1" fillId="2" borderId="0" xfId="0" applyNumberFormat="1" applyFont="1" applyFill="1" applyBorder="1" applyAlignment="1">
      <alignment horizontal="left"/>
    </xf>
    <xf numFmtId="165" fontId="1" fillId="2" borderId="0" xfId="1" applyNumberFormat="1" applyFont="1" applyFill="1" applyBorder="1" applyAlignment="1">
      <alignment horizontal="left"/>
    </xf>
    <xf numFmtId="164" fontId="0" fillId="5" borderId="1" xfId="0" applyNumberFormat="1" applyFont="1" applyFill="1" applyBorder="1" applyAlignment="1">
      <alignment horizontal="left"/>
    </xf>
    <xf numFmtId="166" fontId="0" fillId="0" borderId="0" xfId="0" applyNumberFormat="1" applyFont="1" applyBorder="1" applyAlignment="1">
      <alignment horizontal="left"/>
    </xf>
    <xf numFmtId="166" fontId="0" fillId="0" borderId="1" xfId="0" applyNumberFormat="1" applyFont="1" applyFill="1" applyBorder="1" applyAlignment="1">
      <alignment horizontal="center"/>
    </xf>
    <xf numFmtId="166" fontId="0" fillId="6" borderId="1" xfId="0" quotePrefix="1" applyNumberFormat="1" applyFont="1" applyFill="1" applyBorder="1" applyAlignment="1">
      <alignment horizontal="center"/>
    </xf>
    <xf numFmtId="165" fontId="2" fillId="7" borderId="1" xfId="1" applyNumberFormat="1" applyFont="1" applyFill="1" applyBorder="1" applyAlignment="1">
      <alignment horizontal="center"/>
    </xf>
    <xf numFmtId="166" fontId="0" fillId="7" borderId="1" xfId="0" applyNumberFormat="1" applyFont="1" applyFill="1" applyBorder="1" applyAlignment="1">
      <alignment horizontal="center"/>
    </xf>
    <xf numFmtId="164" fontId="0" fillId="6" borderId="1" xfId="0" applyNumberFormat="1" applyFont="1" applyFill="1" applyBorder="1" applyAlignment="1">
      <alignment horizontal="center"/>
    </xf>
    <xf numFmtId="166" fontId="0" fillId="3" borderId="1" xfId="0" applyNumberFormat="1" applyFont="1" applyFill="1" applyBorder="1" applyAlignment="1">
      <alignment horizontal="center"/>
    </xf>
    <xf numFmtId="166" fontId="0" fillId="7" borderId="1" xfId="0" quotePrefix="1" applyNumberFormat="1" applyFont="1" applyFill="1" applyBorder="1" applyAlignment="1">
      <alignment horizontal="center"/>
    </xf>
    <xf numFmtId="0" fontId="0" fillId="8" borderId="2" xfId="0" applyFont="1" applyFill="1" applyBorder="1" applyAlignment="1">
      <alignment horizontal="left"/>
    </xf>
    <xf numFmtId="164" fontId="0" fillId="8" borderId="2" xfId="0" applyNumberFormat="1" applyFont="1" applyFill="1" applyBorder="1" applyAlignment="1">
      <alignment horizontal="left"/>
    </xf>
    <xf numFmtId="3" fontId="0" fillId="8" borderId="2" xfId="0" applyNumberFormat="1" applyFont="1" applyFill="1" applyBorder="1" applyAlignment="1">
      <alignment horizontal="left"/>
    </xf>
    <xf numFmtId="165" fontId="2" fillId="8" borderId="1" xfId="1" applyNumberFormat="1" applyFont="1" applyFill="1" applyBorder="1" applyAlignment="1">
      <alignment horizontal="left"/>
    </xf>
    <xf numFmtId="166" fontId="0" fillId="0" borderId="0" xfId="0" applyNumberFormat="1"/>
    <xf numFmtId="164" fontId="0" fillId="8" borderId="1" xfId="0" applyNumberFormat="1" applyFont="1" applyFill="1" applyBorder="1" applyAlignment="1">
      <alignment horizontal="left"/>
    </xf>
  </cellXfs>
  <cellStyles count="3">
    <cellStyle name="Normal" xfId="0" builtinId="0"/>
    <cellStyle name="Porcentagem" xfId="2" builtinId="5"/>
    <cellStyle name="Vírgula" xfId="1" builtinId="3"/>
  </cellStyles>
  <dxfs count="0"/>
  <tableStyles count="0" defaultTableStyle="TableStyleMedium2" defaultPivotStyle="PivotStyleLight16"/>
  <colors>
    <mruColors>
      <color rgb="FF868686"/>
      <color rgb="FF62983E"/>
      <color rgb="FFEAB2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08940D-A316-4D77-A3B9-D9548C3D6971}">
  <dimension ref="A1:K17"/>
  <sheetViews>
    <sheetView showGridLines="0" tabSelected="1" zoomScale="140" zoomScaleNormal="140" workbookViewId="0"/>
  </sheetViews>
  <sheetFormatPr defaultRowHeight="14.4" x14ac:dyDescent="0.3"/>
  <cols>
    <col min="1" max="5" width="12" style="2" customWidth="1"/>
    <col min="6" max="6" width="2.88671875" customWidth="1"/>
    <col min="7" max="9" width="13.21875" style="2" customWidth="1"/>
    <col min="10" max="16384" width="8.88671875" style="1"/>
  </cols>
  <sheetData>
    <row r="1" spans="1:11" x14ac:dyDescent="0.3">
      <c r="A1" s="4" t="s">
        <v>0</v>
      </c>
      <c r="B1" s="4" t="s">
        <v>15</v>
      </c>
      <c r="C1" s="4" t="s">
        <v>14</v>
      </c>
      <c r="D1" s="4" t="s">
        <v>17</v>
      </c>
      <c r="E1" s="4" t="s">
        <v>16</v>
      </c>
      <c r="F1" s="5"/>
      <c r="G1" s="18" t="s">
        <v>13</v>
      </c>
      <c r="H1" s="12">
        <v>6000</v>
      </c>
      <c r="I1" s="5"/>
      <c r="J1" s="5"/>
      <c r="K1" s="3"/>
    </row>
    <row r="2" spans="1:11" x14ac:dyDescent="0.3">
      <c r="A2" s="6">
        <v>43831</v>
      </c>
      <c r="B2" s="7">
        <v>0.05</v>
      </c>
      <c r="C2" s="8">
        <f t="shared" ref="C2:C13" si="0">$H$1*B2</f>
        <v>300</v>
      </c>
      <c r="D2" s="9">
        <f t="shared" ref="D2:D13" si="1">$H$2</f>
        <v>12</v>
      </c>
      <c r="E2" s="9">
        <f>C2*D2</f>
        <v>3600</v>
      </c>
      <c r="F2" s="5"/>
      <c r="G2" s="18" t="s">
        <v>17</v>
      </c>
      <c r="H2" s="13">
        <v>12</v>
      </c>
      <c r="I2" s="5"/>
      <c r="J2" s="5"/>
      <c r="K2" s="3"/>
    </row>
    <row r="3" spans="1:11" x14ac:dyDescent="0.3">
      <c r="A3" s="6">
        <v>43862</v>
      </c>
      <c r="B3" s="7">
        <v>0.05</v>
      </c>
      <c r="C3" s="8">
        <f t="shared" si="0"/>
        <v>300</v>
      </c>
      <c r="D3" s="9">
        <f t="shared" si="1"/>
        <v>12</v>
      </c>
      <c r="E3" s="9">
        <f t="shared" ref="E3:E13" si="2">C3*D3</f>
        <v>3600</v>
      </c>
      <c r="F3" s="5"/>
      <c r="G3" s="3"/>
      <c r="H3" s="3"/>
      <c r="I3" s="5"/>
      <c r="J3" s="5"/>
      <c r="K3" s="3"/>
    </row>
    <row r="4" spans="1:11" x14ac:dyDescent="0.3">
      <c r="A4" s="6">
        <v>43891</v>
      </c>
      <c r="B4" s="7">
        <v>0.05</v>
      </c>
      <c r="C4" s="8">
        <f t="shared" si="0"/>
        <v>300</v>
      </c>
      <c r="D4" s="9">
        <f t="shared" si="1"/>
        <v>12</v>
      </c>
      <c r="E4" s="9">
        <f t="shared" si="2"/>
        <v>3600</v>
      </c>
      <c r="F4" s="5"/>
      <c r="G4" s="11" t="s">
        <v>11</v>
      </c>
      <c r="H4" s="14">
        <f>SUM(E2:E13)</f>
        <v>72000</v>
      </c>
      <c r="I4" s="5"/>
      <c r="J4" s="5"/>
      <c r="K4" s="3"/>
    </row>
    <row r="5" spans="1:11" x14ac:dyDescent="0.3">
      <c r="A5" s="6">
        <v>43922</v>
      </c>
      <c r="B5" s="7">
        <v>0.05</v>
      </c>
      <c r="C5" s="8">
        <f t="shared" si="0"/>
        <v>300</v>
      </c>
      <c r="D5" s="9">
        <f t="shared" si="1"/>
        <v>12</v>
      </c>
      <c r="E5" s="9">
        <f t="shared" si="2"/>
        <v>3600</v>
      </c>
      <c r="F5" s="5"/>
      <c r="G5" s="11" t="s">
        <v>12</v>
      </c>
      <c r="H5" s="21">
        <v>60000</v>
      </c>
      <c r="I5" s="5"/>
      <c r="J5" s="5"/>
      <c r="K5" s="3"/>
    </row>
    <row r="6" spans="1:11" x14ac:dyDescent="0.3">
      <c r="A6" s="6">
        <v>43952</v>
      </c>
      <c r="B6" s="7">
        <v>0.08</v>
      </c>
      <c r="C6" s="8">
        <f t="shared" si="0"/>
        <v>480</v>
      </c>
      <c r="D6" s="9">
        <f t="shared" si="1"/>
        <v>12</v>
      </c>
      <c r="E6" s="9">
        <f t="shared" si="2"/>
        <v>5760</v>
      </c>
      <c r="F6" s="5"/>
      <c r="G6" s="3"/>
      <c r="H6" s="3"/>
      <c r="I6" s="5"/>
      <c r="J6" s="5"/>
      <c r="K6" s="3"/>
    </row>
    <row r="7" spans="1:11" x14ac:dyDescent="0.3">
      <c r="A7" s="6">
        <v>43983</v>
      </c>
      <c r="B7" s="7">
        <v>0.08</v>
      </c>
      <c r="C7" s="8">
        <f t="shared" si="0"/>
        <v>480</v>
      </c>
      <c r="D7" s="9">
        <f t="shared" si="1"/>
        <v>12</v>
      </c>
      <c r="E7" s="9">
        <f t="shared" si="2"/>
        <v>5760</v>
      </c>
      <c r="F7" s="5"/>
      <c r="G7" s="15" t="s">
        <v>10</v>
      </c>
      <c r="H7" s="14">
        <f>H4-H5</f>
        <v>12000</v>
      </c>
      <c r="I7" s="3"/>
      <c r="J7" s="5"/>
      <c r="K7" s="3"/>
    </row>
    <row r="8" spans="1:11" x14ac:dyDescent="0.3">
      <c r="A8" s="6">
        <v>44013</v>
      </c>
      <c r="B8" s="7">
        <v>0.08</v>
      </c>
      <c r="C8" s="8">
        <f t="shared" si="0"/>
        <v>480</v>
      </c>
      <c r="D8" s="9">
        <f t="shared" si="1"/>
        <v>12</v>
      </c>
      <c r="E8" s="9">
        <f t="shared" si="2"/>
        <v>5760</v>
      </c>
      <c r="F8" s="5"/>
      <c r="G8" s="3"/>
      <c r="H8" s="3"/>
      <c r="I8" s="3"/>
      <c r="J8" s="5"/>
      <c r="K8" s="3"/>
    </row>
    <row r="9" spans="1:11" x14ac:dyDescent="0.3">
      <c r="A9" s="6">
        <v>44044</v>
      </c>
      <c r="B9" s="7">
        <v>0.08</v>
      </c>
      <c r="C9" s="8">
        <f t="shared" si="0"/>
        <v>480</v>
      </c>
      <c r="D9" s="9">
        <f t="shared" si="1"/>
        <v>12</v>
      </c>
      <c r="E9" s="9">
        <f t="shared" si="2"/>
        <v>5760</v>
      </c>
      <c r="F9" s="5"/>
      <c r="G9" s="17" t="s">
        <v>8</v>
      </c>
      <c r="H9" s="17" t="s">
        <v>5</v>
      </c>
      <c r="I9" s="17" t="s">
        <v>6</v>
      </c>
      <c r="K9" s="3"/>
    </row>
    <row r="10" spans="1:11" x14ac:dyDescent="0.3">
      <c r="A10" s="6">
        <v>44075</v>
      </c>
      <c r="B10" s="7">
        <v>0.12</v>
      </c>
      <c r="C10" s="8">
        <f t="shared" si="0"/>
        <v>720</v>
      </c>
      <c r="D10" s="9">
        <f t="shared" si="1"/>
        <v>12</v>
      </c>
      <c r="E10" s="9">
        <f t="shared" si="2"/>
        <v>8640</v>
      </c>
      <c r="F10" s="5"/>
      <c r="G10" s="30" t="s">
        <v>1</v>
      </c>
      <c r="H10" s="31">
        <v>10</v>
      </c>
      <c r="I10" s="32">
        <v>8000</v>
      </c>
      <c r="K10" s="3"/>
    </row>
    <row r="11" spans="1:11" x14ac:dyDescent="0.3">
      <c r="A11" s="6">
        <v>44105</v>
      </c>
      <c r="B11" s="7">
        <v>0.12</v>
      </c>
      <c r="C11" s="8">
        <f t="shared" si="0"/>
        <v>720</v>
      </c>
      <c r="D11" s="9">
        <f t="shared" si="1"/>
        <v>12</v>
      </c>
      <c r="E11" s="9">
        <f t="shared" si="2"/>
        <v>8640</v>
      </c>
      <c r="F11" s="5"/>
      <c r="G11" s="30" t="s">
        <v>2</v>
      </c>
      <c r="H11" s="31">
        <v>12</v>
      </c>
      <c r="I11" s="32">
        <v>6000</v>
      </c>
      <c r="K11" s="3"/>
    </row>
    <row r="12" spans="1:11" x14ac:dyDescent="0.3">
      <c r="A12" s="6">
        <v>44136</v>
      </c>
      <c r="B12" s="7">
        <v>0.12</v>
      </c>
      <c r="C12" s="8">
        <f t="shared" si="0"/>
        <v>720</v>
      </c>
      <c r="D12" s="9">
        <f t="shared" si="1"/>
        <v>12</v>
      </c>
      <c r="E12" s="9">
        <f t="shared" si="2"/>
        <v>8640</v>
      </c>
      <c r="F12" s="5"/>
      <c r="G12" s="30" t="s">
        <v>3</v>
      </c>
      <c r="H12" s="31">
        <v>15</v>
      </c>
      <c r="I12" s="32">
        <v>4500</v>
      </c>
      <c r="K12" s="3"/>
    </row>
    <row r="13" spans="1:11" x14ac:dyDescent="0.3">
      <c r="A13" s="6">
        <v>44166</v>
      </c>
      <c r="B13" s="7">
        <v>0.12</v>
      </c>
      <c r="C13" s="8">
        <f t="shared" si="0"/>
        <v>720</v>
      </c>
      <c r="D13" s="9">
        <f t="shared" si="1"/>
        <v>12</v>
      </c>
      <c r="E13" s="9">
        <f t="shared" si="2"/>
        <v>8640</v>
      </c>
      <c r="F13" s="5"/>
      <c r="G13" s="30" t="s">
        <v>4</v>
      </c>
      <c r="H13" s="31">
        <v>25</v>
      </c>
      <c r="I13" s="32">
        <v>3000</v>
      </c>
      <c r="K13" s="3"/>
    </row>
    <row r="14" spans="1:11" x14ac:dyDescent="0.3">
      <c r="A14" s="5"/>
      <c r="B14" s="19">
        <f>SUM(B2:B13)</f>
        <v>1</v>
      </c>
      <c r="C14" s="20">
        <f>SUM(C2:C13)</f>
        <v>6000</v>
      </c>
      <c r="D14" s="9"/>
      <c r="E14" s="10">
        <f>SUM(E2:E13)</f>
        <v>72000</v>
      </c>
      <c r="F14" s="5"/>
      <c r="G14" s="30" t="s">
        <v>7</v>
      </c>
      <c r="H14" s="31">
        <v>30</v>
      </c>
      <c r="I14" s="32">
        <v>1500</v>
      </c>
      <c r="K14" s="3"/>
    </row>
    <row r="15" spans="1:11" x14ac:dyDescent="0.3">
      <c r="A15" s="5"/>
      <c r="B15" s="5"/>
      <c r="C15" s="5"/>
      <c r="D15" s="5"/>
      <c r="E15" s="5"/>
      <c r="G15" s="5"/>
      <c r="H15" s="5"/>
      <c r="I15" s="5"/>
      <c r="J15" s="5"/>
      <c r="K15" s="3"/>
    </row>
    <row r="16" spans="1:11" x14ac:dyDescent="0.3">
      <c r="A16" s="3"/>
      <c r="B16" s="3"/>
      <c r="C16" s="3"/>
      <c r="D16" s="3"/>
      <c r="E16" s="3"/>
      <c r="G16" s="3"/>
      <c r="H16" s="3"/>
      <c r="I16" s="3"/>
      <c r="J16" s="3"/>
      <c r="K16" s="3"/>
    </row>
    <row r="17" spans="1:11" x14ac:dyDescent="0.3">
      <c r="A17" s="3"/>
      <c r="B17" s="3"/>
      <c r="C17" s="3"/>
      <c r="D17" s="3"/>
      <c r="E17" s="3"/>
      <c r="G17" s="3"/>
      <c r="H17" s="3"/>
      <c r="I17" s="3"/>
      <c r="J17" s="3"/>
      <c r="K17" s="3"/>
    </row>
  </sheetData>
  <scenarios current="1" show="1">
    <scenario name="Cenário 1" locked="1" count="2" user="João Paulo Ferreira Martins" comment="Criado por João Paulo Ferreira Martins em 10/08/2021_x000a_Alterado por João Paulo Ferreira Martins em 10/08/2021">
      <inputCells r="H1" val="8000" numFmtId="165"/>
      <inputCells r="H2" val="10" numFmtId="164"/>
    </scenario>
    <scenario name="Cenário 2" locked="1" count="2" user="João Paulo Ferreira Martins" comment="Criado por João Paulo Ferreira Martins em 10/08/2021">
      <inputCells r="H1" val="6000" numFmtId="165"/>
      <inputCells r="H2" val="12" numFmtId="164"/>
    </scenario>
    <scenario name="Cenário 3" locked="1" count="2" user="João Paulo Ferreira Martins" comment="Criado por João Paulo Ferreira Martins em 10/08/2021">
      <inputCells r="H1" val="4500" numFmtId="165"/>
      <inputCells r="H2" val="15" numFmtId="164"/>
    </scenario>
    <scenario name="Cenário 4" locked="1" count="2" user="João Paulo Ferreira Martins" comment="Criado por João Paulo Ferreira Martins em 10/08/2021">
      <inputCells r="H1" val="3000" numFmtId="165"/>
      <inputCells r="H2" val="25" numFmtId="164"/>
    </scenario>
    <scenario name="Cenário 5" locked="1" count="2" user="João Paulo Ferreira Martins" comment="Criado por João Paulo Ferreira Martins em 10/08/2021">
      <inputCells r="H1" val="1500" numFmtId="165"/>
      <inputCells r="H2" val="30" numFmtId="164"/>
    </scenario>
  </scenario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661F5B-44F2-43B6-9BF1-F362A1606875}">
  <dimension ref="A1:I14"/>
  <sheetViews>
    <sheetView showGridLines="0" zoomScale="140" zoomScaleNormal="140" workbookViewId="0"/>
  </sheetViews>
  <sheetFormatPr defaultRowHeight="14.4" x14ac:dyDescent="0.3"/>
  <cols>
    <col min="1" max="5" width="12" customWidth="1"/>
    <col min="6" max="6" width="2.88671875" customWidth="1"/>
    <col min="7" max="9" width="13.21875" customWidth="1"/>
  </cols>
  <sheetData>
    <row r="1" spans="1:9" x14ac:dyDescent="0.3">
      <c r="A1" s="4" t="s">
        <v>0</v>
      </c>
      <c r="B1" s="4" t="s">
        <v>15</v>
      </c>
      <c r="C1" s="4" t="s">
        <v>14</v>
      </c>
      <c r="D1" s="4" t="s">
        <v>17</v>
      </c>
      <c r="E1" s="4" t="s">
        <v>16</v>
      </c>
      <c r="F1" s="5"/>
      <c r="G1" s="18" t="s">
        <v>13</v>
      </c>
      <c r="H1" s="12">
        <v>15000</v>
      </c>
      <c r="I1" s="5"/>
    </row>
    <row r="2" spans="1:9" x14ac:dyDescent="0.3">
      <c r="A2" s="6">
        <v>43831</v>
      </c>
      <c r="B2" s="7">
        <v>0.05</v>
      </c>
      <c r="C2" s="8">
        <f>B2*$H$1</f>
        <v>750</v>
      </c>
      <c r="D2" s="22">
        <f>$H$2</f>
        <v>20</v>
      </c>
      <c r="E2" s="9">
        <f t="shared" ref="E2:E13" si="0">C2*D2</f>
        <v>15000</v>
      </c>
      <c r="F2" s="5"/>
      <c r="G2" s="18" t="s">
        <v>17</v>
      </c>
      <c r="H2" s="35">
        <v>20</v>
      </c>
      <c r="I2" s="5"/>
    </row>
    <row r="3" spans="1:9" x14ac:dyDescent="0.3">
      <c r="A3" s="6">
        <v>43862</v>
      </c>
      <c r="B3" s="7">
        <v>0.05</v>
      </c>
      <c r="C3" s="8">
        <f t="shared" ref="C3:C12" si="1">B3*$H$1</f>
        <v>750</v>
      </c>
      <c r="D3" s="22">
        <f t="shared" ref="D3:D13" si="2">$H$2</f>
        <v>20</v>
      </c>
      <c r="E3" s="9">
        <f t="shared" si="0"/>
        <v>15000</v>
      </c>
      <c r="F3" s="5"/>
      <c r="G3" s="3"/>
      <c r="H3" s="3"/>
      <c r="I3" s="5"/>
    </row>
    <row r="4" spans="1:9" x14ac:dyDescent="0.3">
      <c r="A4" s="6">
        <v>43891</v>
      </c>
      <c r="B4" s="7">
        <v>0.05</v>
      </c>
      <c r="C4" s="8">
        <f t="shared" si="1"/>
        <v>750</v>
      </c>
      <c r="D4" s="22">
        <f t="shared" si="2"/>
        <v>20</v>
      </c>
      <c r="E4" s="9">
        <f t="shared" si="0"/>
        <v>15000</v>
      </c>
      <c r="F4" s="5"/>
      <c r="G4" s="11" t="s">
        <v>11</v>
      </c>
      <c r="H4" s="14">
        <f>SUM(E2:E13)</f>
        <v>300000</v>
      </c>
      <c r="I4" s="5"/>
    </row>
    <row r="5" spans="1:9" x14ac:dyDescent="0.3">
      <c r="A5" s="6">
        <v>43922</v>
      </c>
      <c r="B5" s="7">
        <v>0.05</v>
      </c>
      <c r="C5" s="8">
        <f t="shared" si="1"/>
        <v>750</v>
      </c>
      <c r="D5" s="22">
        <f t="shared" si="2"/>
        <v>20</v>
      </c>
      <c r="E5" s="9">
        <f t="shared" si="0"/>
        <v>15000</v>
      </c>
      <c r="F5" s="5"/>
      <c r="G5" s="11" t="s">
        <v>12</v>
      </c>
      <c r="H5" s="21">
        <v>60000</v>
      </c>
      <c r="I5" s="5"/>
    </row>
    <row r="6" spans="1:9" x14ac:dyDescent="0.3">
      <c r="A6" s="6">
        <v>43952</v>
      </c>
      <c r="B6" s="7">
        <v>0.08</v>
      </c>
      <c r="C6" s="8">
        <f t="shared" si="1"/>
        <v>1200</v>
      </c>
      <c r="D6" s="22">
        <f t="shared" si="2"/>
        <v>20</v>
      </c>
      <c r="E6" s="9">
        <f t="shared" si="0"/>
        <v>24000</v>
      </c>
      <c r="F6" s="5"/>
      <c r="G6" s="3"/>
      <c r="H6" s="3"/>
      <c r="I6" s="5"/>
    </row>
    <row r="7" spans="1:9" x14ac:dyDescent="0.3">
      <c r="A7" s="6">
        <v>43983</v>
      </c>
      <c r="B7" s="7">
        <v>0.08</v>
      </c>
      <c r="C7" s="8">
        <f t="shared" si="1"/>
        <v>1200</v>
      </c>
      <c r="D7" s="22">
        <f t="shared" si="2"/>
        <v>20</v>
      </c>
      <c r="E7" s="9">
        <f t="shared" si="0"/>
        <v>24000</v>
      </c>
      <c r="F7" s="5"/>
      <c r="G7" s="15" t="s">
        <v>10</v>
      </c>
      <c r="H7" s="14">
        <f>H4-H5</f>
        <v>240000</v>
      </c>
    </row>
    <row r="8" spans="1:9" x14ac:dyDescent="0.3">
      <c r="A8" s="6">
        <v>44013</v>
      </c>
      <c r="B8" s="7">
        <v>0.08</v>
      </c>
      <c r="C8" s="8">
        <f t="shared" si="1"/>
        <v>1200</v>
      </c>
      <c r="D8" s="22">
        <f t="shared" si="2"/>
        <v>20</v>
      </c>
      <c r="E8" s="9">
        <f t="shared" si="0"/>
        <v>24000</v>
      </c>
      <c r="F8" s="5"/>
      <c r="G8" s="3"/>
      <c r="H8" s="3"/>
      <c r="I8" s="3"/>
    </row>
    <row r="9" spans="1:9" x14ac:dyDescent="0.3">
      <c r="A9" s="6">
        <v>44044</v>
      </c>
      <c r="B9" s="7">
        <v>0.08</v>
      </c>
      <c r="C9" s="8">
        <f t="shared" si="1"/>
        <v>1200</v>
      </c>
      <c r="D9" s="22">
        <f t="shared" si="2"/>
        <v>20</v>
      </c>
      <c r="E9" s="9">
        <f t="shared" si="0"/>
        <v>24000</v>
      </c>
      <c r="F9" s="5"/>
      <c r="H9" s="34"/>
    </row>
    <row r="10" spans="1:9" x14ac:dyDescent="0.3">
      <c r="A10" s="6">
        <v>44075</v>
      </c>
      <c r="B10" s="7">
        <v>0.12</v>
      </c>
      <c r="C10" s="8">
        <f t="shared" si="1"/>
        <v>1800</v>
      </c>
      <c r="D10" s="22">
        <f t="shared" si="2"/>
        <v>20</v>
      </c>
      <c r="E10" s="9">
        <f t="shared" si="0"/>
        <v>36000</v>
      </c>
      <c r="F10" s="5"/>
      <c r="H10" s="34"/>
    </row>
    <row r="11" spans="1:9" x14ac:dyDescent="0.3">
      <c r="A11" s="6">
        <v>44105</v>
      </c>
      <c r="B11" s="7">
        <v>0.12</v>
      </c>
      <c r="C11" s="8">
        <f t="shared" si="1"/>
        <v>1800</v>
      </c>
      <c r="D11" s="22">
        <f t="shared" si="2"/>
        <v>20</v>
      </c>
      <c r="E11" s="9">
        <f t="shared" si="0"/>
        <v>36000</v>
      </c>
      <c r="F11" s="5"/>
    </row>
    <row r="12" spans="1:9" x14ac:dyDescent="0.3">
      <c r="A12" s="6">
        <v>44136</v>
      </c>
      <c r="B12" s="7">
        <v>0.12</v>
      </c>
      <c r="C12" s="8">
        <f t="shared" si="1"/>
        <v>1800</v>
      </c>
      <c r="D12" s="22">
        <f t="shared" si="2"/>
        <v>20</v>
      </c>
      <c r="E12" s="9">
        <f t="shared" si="0"/>
        <v>36000</v>
      </c>
      <c r="F12" s="5"/>
    </row>
    <row r="13" spans="1:9" x14ac:dyDescent="0.3">
      <c r="A13" s="6">
        <v>44166</v>
      </c>
      <c r="B13" s="7">
        <v>0.12</v>
      </c>
      <c r="C13" s="8">
        <f>B13*$H$1</f>
        <v>1800</v>
      </c>
      <c r="D13" s="22">
        <f t="shared" si="2"/>
        <v>20</v>
      </c>
      <c r="E13" s="9">
        <f t="shared" si="0"/>
        <v>36000</v>
      </c>
      <c r="F13" s="5"/>
    </row>
    <row r="14" spans="1:9" x14ac:dyDescent="0.3">
      <c r="A14" s="5"/>
      <c r="B14" s="19">
        <f>SUM(B2:B13)</f>
        <v>1</v>
      </c>
      <c r="C14" s="20">
        <f>SUM(C2:C13)</f>
        <v>15000</v>
      </c>
      <c r="D14" s="9"/>
      <c r="E14" s="10">
        <f>SUM(E2:E13)</f>
        <v>300000</v>
      </c>
      <c r="F14" s="5"/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8CF6A4-1F1E-4CE5-82C3-8C9AFDA64599}">
  <dimension ref="A1:I21"/>
  <sheetViews>
    <sheetView showGridLines="0" zoomScale="140" zoomScaleNormal="140" workbookViewId="0"/>
  </sheetViews>
  <sheetFormatPr defaultRowHeight="14.4" x14ac:dyDescent="0.3"/>
  <cols>
    <col min="1" max="5" width="12" customWidth="1"/>
    <col min="6" max="6" width="2.88671875" customWidth="1"/>
    <col min="7" max="9" width="13.33203125" customWidth="1"/>
  </cols>
  <sheetData>
    <row r="1" spans="1:9" x14ac:dyDescent="0.3">
      <c r="A1" s="4" t="s">
        <v>0</v>
      </c>
      <c r="B1" s="4" t="s">
        <v>15</v>
      </c>
      <c r="C1" s="4" t="s">
        <v>14</v>
      </c>
      <c r="D1" s="4" t="s">
        <v>17</v>
      </c>
      <c r="E1" s="4" t="s">
        <v>16</v>
      </c>
      <c r="F1" s="5"/>
      <c r="G1" s="18" t="s">
        <v>13</v>
      </c>
      <c r="H1" s="33">
        <v>12000</v>
      </c>
      <c r="I1" s="5"/>
    </row>
    <row r="2" spans="1:9" x14ac:dyDescent="0.3">
      <c r="A2" s="6">
        <v>43831</v>
      </c>
      <c r="B2" s="7">
        <v>0.05</v>
      </c>
      <c r="C2" s="8">
        <f t="shared" ref="C2:C13" si="0">$H$1*B2</f>
        <v>600</v>
      </c>
      <c r="D2" s="9">
        <f>$H$2</f>
        <v>16</v>
      </c>
      <c r="E2" s="9">
        <f t="shared" ref="E2:E13" si="1">C2*D2</f>
        <v>9600</v>
      </c>
      <c r="F2" s="5"/>
      <c r="G2" s="18" t="s">
        <v>17</v>
      </c>
      <c r="H2" s="13">
        <v>16</v>
      </c>
    </row>
    <row r="3" spans="1:9" x14ac:dyDescent="0.3">
      <c r="A3" s="6">
        <v>43862</v>
      </c>
      <c r="B3" s="7">
        <v>0.05</v>
      </c>
      <c r="C3" s="8">
        <f t="shared" si="0"/>
        <v>600</v>
      </c>
      <c r="D3" s="9">
        <f t="shared" ref="D3:D13" si="2">$H$2</f>
        <v>16</v>
      </c>
      <c r="E3" s="9">
        <f t="shared" si="1"/>
        <v>9600</v>
      </c>
      <c r="F3" s="5"/>
      <c r="G3" s="3"/>
      <c r="H3" s="3"/>
    </row>
    <row r="4" spans="1:9" x14ac:dyDescent="0.3">
      <c r="A4" s="6">
        <v>43891</v>
      </c>
      <c r="B4" s="7">
        <v>0.05</v>
      </c>
      <c r="C4" s="8">
        <f t="shared" si="0"/>
        <v>600</v>
      </c>
      <c r="D4" s="9">
        <f t="shared" si="2"/>
        <v>16</v>
      </c>
      <c r="E4" s="9">
        <f t="shared" si="1"/>
        <v>9600</v>
      </c>
      <c r="F4" s="5"/>
      <c r="G4" s="11" t="s">
        <v>11</v>
      </c>
      <c r="H4" s="14">
        <f>SUM(E2:E13)</f>
        <v>192000</v>
      </c>
    </row>
    <row r="5" spans="1:9" x14ac:dyDescent="0.3">
      <c r="A5" s="6">
        <v>43922</v>
      </c>
      <c r="B5" s="7">
        <v>0.05</v>
      </c>
      <c r="C5" s="8">
        <f t="shared" si="0"/>
        <v>600</v>
      </c>
      <c r="D5" s="9">
        <f t="shared" si="2"/>
        <v>16</v>
      </c>
      <c r="E5" s="9">
        <f t="shared" si="1"/>
        <v>9600</v>
      </c>
      <c r="F5" s="5"/>
      <c r="G5" s="11" t="s">
        <v>12</v>
      </c>
      <c r="H5" s="14">
        <v>60000</v>
      </c>
    </row>
    <row r="6" spans="1:9" x14ac:dyDescent="0.3">
      <c r="A6" s="6">
        <v>43952</v>
      </c>
      <c r="B6" s="7">
        <v>0.08</v>
      </c>
      <c r="C6" s="8">
        <f t="shared" si="0"/>
        <v>960</v>
      </c>
      <c r="D6" s="9">
        <f t="shared" si="2"/>
        <v>16</v>
      </c>
      <c r="E6" s="9">
        <f t="shared" si="1"/>
        <v>15360</v>
      </c>
      <c r="F6" s="5"/>
      <c r="G6" s="3"/>
      <c r="H6" s="3"/>
    </row>
    <row r="7" spans="1:9" x14ac:dyDescent="0.3">
      <c r="A7" s="6">
        <v>43983</v>
      </c>
      <c r="B7" s="7">
        <v>0.08</v>
      </c>
      <c r="C7" s="8">
        <f t="shared" si="0"/>
        <v>960</v>
      </c>
      <c r="D7" s="9">
        <f t="shared" si="2"/>
        <v>16</v>
      </c>
      <c r="E7" s="9">
        <f t="shared" si="1"/>
        <v>15360</v>
      </c>
      <c r="F7" s="5"/>
      <c r="G7" s="15" t="s">
        <v>10</v>
      </c>
      <c r="H7" s="14">
        <f>H4-H5</f>
        <v>132000</v>
      </c>
    </row>
    <row r="8" spans="1:9" x14ac:dyDescent="0.3">
      <c r="A8" s="6">
        <v>44013</v>
      </c>
      <c r="B8" s="7">
        <v>0.08</v>
      </c>
      <c r="C8" s="8">
        <f t="shared" si="0"/>
        <v>960</v>
      </c>
      <c r="D8" s="9">
        <f t="shared" si="2"/>
        <v>16</v>
      </c>
      <c r="E8" s="9">
        <f t="shared" si="1"/>
        <v>15360</v>
      </c>
      <c r="F8" s="5"/>
      <c r="G8" s="3"/>
      <c r="H8" s="3"/>
    </row>
    <row r="9" spans="1:9" x14ac:dyDescent="0.3">
      <c r="A9" s="6">
        <v>44044</v>
      </c>
      <c r="B9" s="7">
        <v>0.08</v>
      </c>
      <c r="C9" s="8">
        <f t="shared" si="0"/>
        <v>960</v>
      </c>
      <c r="D9" s="9">
        <f t="shared" si="2"/>
        <v>16</v>
      </c>
      <c r="E9" s="9">
        <f t="shared" si="1"/>
        <v>15360</v>
      </c>
      <c r="F9" s="5"/>
      <c r="G9" s="28" t="s">
        <v>5</v>
      </c>
      <c r="H9" s="28" t="s">
        <v>10</v>
      </c>
    </row>
    <row r="10" spans="1:9" x14ac:dyDescent="0.3">
      <c r="A10" s="6">
        <v>44075</v>
      </c>
      <c r="B10" s="7">
        <v>0.12</v>
      </c>
      <c r="C10" s="8">
        <f t="shared" si="0"/>
        <v>1440</v>
      </c>
      <c r="D10" s="9">
        <f t="shared" si="2"/>
        <v>16</v>
      </c>
      <c r="E10" s="9">
        <f t="shared" si="1"/>
        <v>23040</v>
      </c>
      <c r="F10" s="5"/>
      <c r="G10" s="29" t="s">
        <v>9</v>
      </c>
      <c r="H10" s="27">
        <f>H4-H5</f>
        <v>132000</v>
      </c>
    </row>
    <row r="11" spans="1:9" x14ac:dyDescent="0.3">
      <c r="A11" s="6">
        <v>44105</v>
      </c>
      <c r="B11" s="7">
        <v>0.12</v>
      </c>
      <c r="C11" s="8">
        <f t="shared" si="0"/>
        <v>1440</v>
      </c>
      <c r="D11" s="9">
        <f t="shared" si="2"/>
        <v>16</v>
      </c>
      <c r="E11" s="9">
        <f t="shared" si="1"/>
        <v>23040</v>
      </c>
      <c r="F11" s="5"/>
      <c r="G11" s="26">
        <v>8</v>
      </c>
      <c r="H11" s="23"/>
    </row>
    <row r="12" spans="1:9" x14ac:dyDescent="0.3">
      <c r="A12" s="6">
        <v>44136</v>
      </c>
      <c r="B12" s="7">
        <v>0.12</v>
      </c>
      <c r="C12" s="8">
        <f t="shared" si="0"/>
        <v>1440</v>
      </c>
      <c r="D12" s="9">
        <f t="shared" si="2"/>
        <v>16</v>
      </c>
      <c r="E12" s="9">
        <f t="shared" si="1"/>
        <v>23040</v>
      </c>
      <c r="F12" s="5"/>
      <c r="G12" s="26">
        <v>9</v>
      </c>
      <c r="H12" s="23"/>
    </row>
    <row r="13" spans="1:9" x14ac:dyDescent="0.3">
      <c r="A13" s="6">
        <v>44166</v>
      </c>
      <c r="B13" s="7">
        <v>0.12</v>
      </c>
      <c r="C13" s="8">
        <f t="shared" si="0"/>
        <v>1440</v>
      </c>
      <c r="D13" s="9">
        <f t="shared" si="2"/>
        <v>16</v>
      </c>
      <c r="E13" s="9">
        <f t="shared" si="1"/>
        <v>23040</v>
      </c>
      <c r="F13" s="5"/>
      <c r="G13" s="26">
        <v>10</v>
      </c>
      <c r="H13" s="23"/>
    </row>
    <row r="14" spans="1:9" x14ac:dyDescent="0.3">
      <c r="A14" s="5"/>
      <c r="B14" s="19">
        <f>SUM(B2:B13)</f>
        <v>1</v>
      </c>
      <c r="C14" s="20">
        <f>SUM(C2:C13)</f>
        <v>12000</v>
      </c>
      <c r="D14" s="9"/>
      <c r="E14" s="10">
        <f>SUM(E2:E13)</f>
        <v>192000</v>
      </c>
      <c r="F14" s="5"/>
      <c r="G14" s="26">
        <v>11</v>
      </c>
      <c r="H14" s="23"/>
    </row>
    <row r="15" spans="1:9" x14ac:dyDescent="0.3">
      <c r="G15" s="26">
        <v>12</v>
      </c>
      <c r="H15" s="23"/>
    </row>
    <row r="16" spans="1:9" x14ac:dyDescent="0.3">
      <c r="G16" s="26">
        <v>13</v>
      </c>
      <c r="H16" s="23"/>
    </row>
    <row r="17" spans="7:8" x14ac:dyDescent="0.3">
      <c r="G17" s="26">
        <v>14</v>
      </c>
      <c r="H17" s="23"/>
    </row>
    <row r="18" spans="7:8" x14ac:dyDescent="0.3">
      <c r="G18" s="26">
        <v>15</v>
      </c>
      <c r="H18" s="23"/>
    </row>
    <row r="19" spans="7:8" x14ac:dyDescent="0.3">
      <c r="G19" s="26">
        <v>16</v>
      </c>
      <c r="H19" s="23"/>
    </row>
    <row r="20" spans="7:8" x14ac:dyDescent="0.3">
      <c r="G20" s="26">
        <v>17</v>
      </c>
      <c r="H20" s="23"/>
    </row>
    <row r="21" spans="7:8" x14ac:dyDescent="0.3">
      <c r="G21" s="26">
        <v>18</v>
      </c>
      <c r="H21" s="23"/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09D2E2-1387-4784-8AF2-9370DB455379}">
  <dimension ref="A1:K20"/>
  <sheetViews>
    <sheetView showGridLines="0" zoomScale="140" zoomScaleNormal="140" workbookViewId="0"/>
  </sheetViews>
  <sheetFormatPr defaultRowHeight="14.4" x14ac:dyDescent="0.3"/>
  <cols>
    <col min="1" max="5" width="12" customWidth="1"/>
    <col min="6" max="6" width="2.88671875" customWidth="1"/>
    <col min="7" max="12" width="13.109375" customWidth="1"/>
  </cols>
  <sheetData>
    <row r="1" spans="1:11" x14ac:dyDescent="0.3">
      <c r="A1" s="4" t="s">
        <v>0</v>
      </c>
      <c r="B1" s="4" t="s">
        <v>15</v>
      </c>
      <c r="C1" s="4" t="s">
        <v>14</v>
      </c>
      <c r="D1" s="4" t="s">
        <v>17</v>
      </c>
      <c r="E1" s="4" t="s">
        <v>16</v>
      </c>
      <c r="F1" s="5"/>
      <c r="G1" s="18" t="s">
        <v>13</v>
      </c>
      <c r="H1" s="12">
        <v>8000</v>
      </c>
      <c r="I1" s="5"/>
    </row>
    <row r="2" spans="1:11" x14ac:dyDescent="0.3">
      <c r="A2" s="6">
        <v>43831</v>
      </c>
      <c r="B2" s="7">
        <v>0.05</v>
      </c>
      <c r="C2" s="8">
        <f t="shared" ref="C2:C13" si="0">$H$1*B2</f>
        <v>400</v>
      </c>
      <c r="D2" s="9">
        <f>$H$2</f>
        <v>12</v>
      </c>
      <c r="E2" s="9">
        <f t="shared" ref="E2:E13" si="1">C2*D2</f>
        <v>4800</v>
      </c>
      <c r="F2" s="5"/>
      <c r="G2" s="18" t="s">
        <v>17</v>
      </c>
      <c r="H2" s="13">
        <v>12</v>
      </c>
    </row>
    <row r="3" spans="1:11" x14ac:dyDescent="0.3">
      <c r="A3" s="6">
        <v>43862</v>
      </c>
      <c r="B3" s="7">
        <v>0.05</v>
      </c>
      <c r="C3" s="8">
        <f t="shared" si="0"/>
        <v>400</v>
      </c>
      <c r="D3" s="9">
        <f t="shared" ref="D3:D13" si="2">$H$2</f>
        <v>12</v>
      </c>
      <c r="E3" s="9">
        <f t="shared" si="1"/>
        <v>4800</v>
      </c>
      <c r="F3" s="5"/>
      <c r="G3" s="3"/>
      <c r="H3" s="3"/>
    </row>
    <row r="4" spans="1:11" x14ac:dyDescent="0.3">
      <c r="A4" s="6">
        <v>43891</v>
      </c>
      <c r="B4" s="7">
        <v>0.05</v>
      </c>
      <c r="C4" s="8">
        <f t="shared" si="0"/>
        <v>400</v>
      </c>
      <c r="D4" s="9">
        <f t="shared" si="2"/>
        <v>12</v>
      </c>
      <c r="E4" s="9">
        <f t="shared" si="1"/>
        <v>4800</v>
      </c>
      <c r="F4" s="5"/>
      <c r="G4" s="11" t="s">
        <v>11</v>
      </c>
      <c r="H4" s="14">
        <f>SUM(E2:E13)</f>
        <v>96000</v>
      </c>
    </row>
    <row r="5" spans="1:11" x14ac:dyDescent="0.3">
      <c r="A5" s="6">
        <v>43922</v>
      </c>
      <c r="B5" s="7">
        <v>0.05</v>
      </c>
      <c r="C5" s="8">
        <f t="shared" si="0"/>
        <v>400</v>
      </c>
      <c r="D5" s="9">
        <f t="shared" si="2"/>
        <v>12</v>
      </c>
      <c r="E5" s="9">
        <f t="shared" si="1"/>
        <v>4800</v>
      </c>
      <c r="F5" s="5"/>
      <c r="G5" s="11" t="s">
        <v>12</v>
      </c>
      <c r="H5" s="14">
        <v>60000</v>
      </c>
    </row>
    <row r="6" spans="1:11" x14ac:dyDescent="0.3">
      <c r="A6" s="6">
        <v>43952</v>
      </c>
      <c r="B6" s="7">
        <v>0.08</v>
      </c>
      <c r="C6" s="8">
        <f t="shared" si="0"/>
        <v>640</v>
      </c>
      <c r="D6" s="9">
        <f t="shared" si="2"/>
        <v>12</v>
      </c>
      <c r="E6" s="9">
        <f t="shared" si="1"/>
        <v>7680</v>
      </c>
      <c r="F6" s="5"/>
      <c r="G6" s="3"/>
      <c r="H6" s="3"/>
    </row>
    <row r="7" spans="1:11" x14ac:dyDescent="0.3">
      <c r="A7" s="6">
        <v>43983</v>
      </c>
      <c r="B7" s="7">
        <v>0.08</v>
      </c>
      <c r="C7" s="8">
        <f t="shared" si="0"/>
        <v>640</v>
      </c>
      <c r="D7" s="9">
        <f t="shared" si="2"/>
        <v>12</v>
      </c>
      <c r="E7" s="9">
        <f t="shared" si="1"/>
        <v>7680</v>
      </c>
      <c r="F7" s="5"/>
      <c r="G7" s="15" t="s">
        <v>10</v>
      </c>
      <c r="H7" s="14">
        <f>H4-H5</f>
        <v>36000</v>
      </c>
    </row>
    <row r="8" spans="1:11" x14ac:dyDescent="0.3">
      <c r="A8" s="6">
        <v>44013</v>
      </c>
      <c r="B8" s="7">
        <v>0.08</v>
      </c>
      <c r="C8" s="8">
        <f t="shared" si="0"/>
        <v>640</v>
      </c>
      <c r="D8" s="9">
        <f t="shared" si="2"/>
        <v>12</v>
      </c>
      <c r="E8" s="9">
        <f t="shared" si="1"/>
        <v>7680</v>
      </c>
      <c r="F8" s="5"/>
      <c r="G8" s="3"/>
      <c r="H8" s="3"/>
    </row>
    <row r="9" spans="1:11" x14ac:dyDescent="0.3">
      <c r="A9" s="6">
        <v>44044</v>
      </c>
      <c r="B9" s="7">
        <v>0.08</v>
      </c>
      <c r="C9" s="8">
        <f t="shared" si="0"/>
        <v>640</v>
      </c>
      <c r="D9" s="9">
        <f t="shared" si="2"/>
        <v>12</v>
      </c>
      <c r="E9" s="9">
        <f t="shared" si="1"/>
        <v>7680</v>
      </c>
      <c r="F9" s="5"/>
      <c r="G9" s="24">
        <f>H4-H5</f>
        <v>36000</v>
      </c>
      <c r="H9" s="25">
        <v>8000</v>
      </c>
      <c r="I9" s="25">
        <v>10000</v>
      </c>
      <c r="J9" s="25">
        <v>12000</v>
      </c>
      <c r="K9" s="25">
        <v>14000</v>
      </c>
    </row>
    <row r="10" spans="1:11" x14ac:dyDescent="0.3">
      <c r="A10" s="6">
        <v>44075</v>
      </c>
      <c r="B10" s="7">
        <v>0.12</v>
      </c>
      <c r="C10" s="8">
        <f t="shared" si="0"/>
        <v>960</v>
      </c>
      <c r="D10" s="9">
        <f t="shared" si="2"/>
        <v>12</v>
      </c>
      <c r="E10" s="9">
        <f t="shared" si="1"/>
        <v>11520</v>
      </c>
      <c r="F10" s="5"/>
      <c r="G10" s="26">
        <v>8</v>
      </c>
      <c r="H10" s="16"/>
      <c r="I10" s="16"/>
      <c r="J10" s="16"/>
      <c r="K10" s="16"/>
    </row>
    <row r="11" spans="1:11" x14ac:dyDescent="0.3">
      <c r="A11" s="6">
        <v>44105</v>
      </c>
      <c r="B11" s="7">
        <v>0.12</v>
      </c>
      <c r="C11" s="8">
        <f t="shared" si="0"/>
        <v>960</v>
      </c>
      <c r="D11" s="9">
        <f t="shared" si="2"/>
        <v>12</v>
      </c>
      <c r="E11" s="9">
        <f t="shared" si="1"/>
        <v>11520</v>
      </c>
      <c r="F11" s="5"/>
      <c r="G11" s="26">
        <v>9</v>
      </c>
      <c r="H11" s="16"/>
      <c r="I11" s="16"/>
      <c r="J11" s="16"/>
      <c r="K11" s="16"/>
    </row>
    <row r="12" spans="1:11" x14ac:dyDescent="0.3">
      <c r="A12" s="6">
        <v>44136</v>
      </c>
      <c r="B12" s="7">
        <v>0.12</v>
      </c>
      <c r="C12" s="8">
        <f t="shared" si="0"/>
        <v>960</v>
      </c>
      <c r="D12" s="9">
        <f t="shared" si="2"/>
        <v>12</v>
      </c>
      <c r="E12" s="9">
        <f t="shared" si="1"/>
        <v>11520</v>
      </c>
      <c r="F12" s="5"/>
      <c r="G12" s="26">
        <v>10</v>
      </c>
      <c r="H12" s="16"/>
      <c r="I12" s="16"/>
      <c r="J12" s="16"/>
      <c r="K12" s="16"/>
    </row>
    <row r="13" spans="1:11" x14ac:dyDescent="0.3">
      <c r="A13" s="6">
        <v>44166</v>
      </c>
      <c r="B13" s="7">
        <v>0.12</v>
      </c>
      <c r="C13" s="8">
        <f t="shared" si="0"/>
        <v>960</v>
      </c>
      <c r="D13" s="9">
        <f t="shared" si="2"/>
        <v>12</v>
      </c>
      <c r="E13" s="9">
        <f t="shared" si="1"/>
        <v>11520</v>
      </c>
      <c r="F13" s="5"/>
      <c r="G13" s="26">
        <v>11</v>
      </c>
      <c r="H13" s="16"/>
      <c r="I13" s="16"/>
      <c r="J13" s="16"/>
      <c r="K13" s="16"/>
    </row>
    <row r="14" spans="1:11" x14ac:dyDescent="0.3">
      <c r="A14" s="5"/>
      <c r="B14" s="19">
        <f>SUM(B2:B13)</f>
        <v>1</v>
      </c>
      <c r="C14" s="20">
        <f>SUM(C2:C13)</f>
        <v>8000</v>
      </c>
      <c r="D14" s="9"/>
      <c r="E14" s="10">
        <f>SUM(E2:E13)</f>
        <v>96000</v>
      </c>
      <c r="F14" s="5"/>
      <c r="G14" s="26">
        <v>12</v>
      </c>
      <c r="H14" s="16"/>
      <c r="I14" s="16"/>
      <c r="J14" s="16"/>
      <c r="K14" s="16"/>
    </row>
    <row r="15" spans="1:11" x14ac:dyDescent="0.3">
      <c r="G15" s="26">
        <v>13</v>
      </c>
      <c r="H15" s="16"/>
      <c r="I15" s="16"/>
      <c r="J15" s="16"/>
      <c r="K15" s="16"/>
    </row>
    <row r="16" spans="1:11" x14ac:dyDescent="0.3">
      <c r="G16" s="26">
        <v>14</v>
      </c>
      <c r="H16" s="16"/>
      <c r="I16" s="16"/>
      <c r="J16" s="16"/>
      <c r="K16" s="16"/>
    </row>
    <row r="17" spans="7:11" x14ac:dyDescent="0.3">
      <c r="G17" s="26">
        <v>15</v>
      </c>
      <c r="H17" s="16"/>
      <c r="I17" s="16"/>
      <c r="J17" s="16"/>
      <c r="K17" s="16"/>
    </row>
    <row r="18" spans="7:11" x14ac:dyDescent="0.3">
      <c r="G18" s="26">
        <v>16</v>
      </c>
      <c r="H18" s="16"/>
      <c r="I18" s="16"/>
      <c r="J18" s="16"/>
      <c r="K18" s="16"/>
    </row>
    <row r="19" spans="7:11" x14ac:dyDescent="0.3">
      <c r="G19" s="26">
        <v>17</v>
      </c>
      <c r="H19" s="16"/>
      <c r="I19" s="16"/>
      <c r="J19" s="16"/>
      <c r="K19" s="16"/>
    </row>
    <row r="20" spans="7:11" x14ac:dyDescent="0.3">
      <c r="G20" s="26">
        <v>18</v>
      </c>
      <c r="H20" s="16"/>
      <c r="I20" s="16"/>
      <c r="J20" s="16"/>
      <c r="K20" s="16"/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Cenários</vt:lpstr>
      <vt:lpstr>Meta</vt:lpstr>
      <vt:lpstr>Dados (Caso 1)</vt:lpstr>
      <vt:lpstr>Dados (Caso 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João Paulo Ferreira Martins</dc:creator>
  <cp:lastModifiedBy>João Paulo Ferreira Martins</cp:lastModifiedBy>
  <dcterms:created xsi:type="dcterms:W3CDTF">2020-09-01T19:54:19Z</dcterms:created>
  <dcterms:modified xsi:type="dcterms:W3CDTF">2021-08-10T14:14:39Z</dcterms:modified>
</cp:coreProperties>
</file>